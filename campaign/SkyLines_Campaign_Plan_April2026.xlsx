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udget" sheetId="2" state="visible" r:id="rId2"/>
    <sheet xmlns:r="http://schemas.openxmlformats.org/officeDocument/2006/relationships" name="Targeting" sheetId="3" state="visible" r:id="rId3"/>
    <sheet xmlns:r="http://schemas.openxmlformats.org/officeDocument/2006/relationships" name="AdCopy" sheetId="4" state="visible" r:id="rId4"/>
    <sheet xmlns:r="http://schemas.openxmlformats.org/officeDocument/2006/relationships" name="Timeline" sheetId="5" state="visible" r:id="rId5"/>
    <sheet xmlns:r="http://schemas.openxmlformats.org/officeDocument/2006/relationships" name="KPIs" sheetId="6" state="visible" r:id="rId6"/>
    <sheet xmlns:r="http://schemas.openxmlformats.org/officeDocument/2006/relationships" name="Creatives" sheetId="7" state="visible" r:id="rId7"/>
    <sheet xmlns:r="http://schemas.openxmlformats.org/officeDocument/2006/relationships" name="DailyTracking" sheetId="8" state="visible" r:id="rId8"/>
    <sheet xmlns:r="http://schemas.openxmlformats.org/officeDocument/2006/relationships" name="Engagement"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Arial"/>
      <b val="1"/>
      <color rgb="00FFFFFF"/>
      <sz val="16"/>
    </font>
    <font>
      <name val="Arial"/>
      <b val="1"/>
      <color rgb="00FFFFFF"/>
      <sz val="11"/>
    </font>
    <font>
      <name val="Arial"/>
      <b val="1"/>
      <sz val="11"/>
    </font>
    <font>
      <name val="Arial"/>
      <sz val="11"/>
    </font>
    <font>
      <name val="Arial"/>
      <b val="1"/>
      <color rgb="00FFFFFF"/>
      <sz val="14"/>
    </font>
    <font>
      <name val="Arial"/>
      <color rgb="000000FF"/>
      <sz val="11"/>
    </font>
    <font>
      <name val="Arial"/>
      <color rgb="00000000"/>
      <sz val="11"/>
    </font>
    <font>
      <name val="Arial"/>
      <b val="1"/>
      <sz val="12"/>
    </font>
    <font>
      <name val="Arial"/>
      <b val="1"/>
      <color rgb="00000000"/>
    </font>
    <font>
      <name val="Arial"/>
      <b val="1"/>
      <color rgb="00FFFFFF"/>
      <sz val="12"/>
    </font>
    <font>
      <name val="Arial"/>
      <b val="1"/>
      <color rgb="00065F46"/>
      <sz val="12"/>
    </font>
    <font>
      <name val="Arial"/>
      <sz val="10"/>
    </font>
    <font>
      <name val="Arial"/>
      <b val="1"/>
      <sz val="10"/>
    </font>
  </fonts>
  <fills count="7">
    <fill>
      <patternFill/>
    </fill>
    <fill>
      <patternFill patternType="gray125"/>
    </fill>
    <fill>
      <patternFill patternType="solid">
        <fgColor rgb="001F2937"/>
      </patternFill>
    </fill>
    <fill>
      <patternFill patternType="solid">
        <fgColor rgb="006366F1"/>
      </patternFill>
    </fill>
    <fill>
      <patternFill patternType="solid">
        <fgColor rgb="00FEF3C7"/>
      </patternFill>
    </fill>
    <fill>
      <patternFill patternType="solid">
        <fgColor rgb="00D1FAE5"/>
      </patternFill>
    </fill>
    <fill>
      <patternFill patternType="solid">
        <fgColor rgb="00FED7A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2" borderId="0" applyAlignment="1" pivotButton="0" quotePrefix="0" xfId="0">
      <alignment horizontal="center" vertical="center" wrapText="1"/>
    </xf>
    <xf numFmtId="3" fontId="6" fillId="0" borderId="1" applyAlignment="1" pivotButton="0" quotePrefix="0" xfId="0">
      <alignment horizontal="center" vertical="center" wrapText="1"/>
    </xf>
    <xf numFmtId="3" fontId="7"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8" fillId="4" borderId="1" applyAlignment="1" pivotButton="0" quotePrefix="0" xfId="0">
      <alignment horizontal="center" vertical="center" wrapText="1"/>
    </xf>
    <xf numFmtId="3" fontId="9" fillId="4" borderId="1" applyAlignment="1" pivotButton="0" quotePrefix="0" xfId="0">
      <alignment horizontal="center" vertical="center" wrapText="1"/>
    </xf>
    <xf numFmtId="0" fontId="10" fillId="2" borderId="0" applyAlignment="1" pivotButton="0" quotePrefix="0" xfId="0">
      <alignment horizontal="center" vertical="center" wrapText="1"/>
    </xf>
    <xf numFmtId="0"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0" fontId="3" fillId="4" borderId="1" applyAlignment="1" pivotButton="0" quotePrefix="0" xfId="0">
      <alignment horizontal="right" vertical="center" wrapText="1"/>
    </xf>
    <xf numFmtId="0" fontId="3" fillId="0" borderId="1" applyAlignment="1" pivotButton="0" quotePrefix="0" xfId="0">
      <alignment horizontal="center" vertical="center" wrapText="1"/>
    </xf>
    <xf numFmtId="0" fontId="4" fillId="0" borderId="1" applyAlignment="1" pivotButton="0" quotePrefix="0" xfId="0">
      <alignment horizontal="right" vertical="center" wrapText="1"/>
    </xf>
    <xf numFmtId="0" fontId="0" fillId="4" borderId="1" applyAlignment="1" pivotButton="0" quotePrefix="0" xfId="0">
      <alignment horizontal="right" vertical="top" wrapText="1"/>
    </xf>
    <xf numFmtId="0" fontId="4" fillId="0" borderId="1" applyAlignment="1" pivotButton="0" quotePrefix="0" xfId="0">
      <alignment horizontal="right" vertical="top" wrapText="1"/>
    </xf>
    <xf numFmtId="0" fontId="3" fillId="5" borderId="1" applyAlignment="1" pivotButton="0" quotePrefix="0" xfId="0">
      <alignment horizontal="center" vertical="center" wrapText="1"/>
    </xf>
    <xf numFmtId="3"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2" fontId="0" fillId="0" borderId="1" applyAlignment="1" pivotButton="0" quotePrefix="0" xfId="0">
      <alignment horizontal="center" vertical="center" wrapText="1"/>
    </xf>
    <xf numFmtId="0" fontId="0" fillId="0" borderId="1" pivotButton="0" quotePrefix="0" xfId="0"/>
    <xf numFmtId="0" fontId="8" fillId="4" borderId="0" pivotButton="0" quotePrefix="0" xfId="0"/>
    <xf numFmtId="3" fontId="3" fillId="4" borderId="1" applyAlignment="1" pivotButton="0" quotePrefix="0" xfId="0">
      <alignment horizontal="center" vertical="center" wrapText="1"/>
    </xf>
    <xf numFmtId="2" fontId="3" fillId="4" borderId="1" applyAlignment="1" pivotButton="0" quotePrefix="0" xfId="0">
      <alignment horizontal="center" vertical="center" wrapText="1"/>
    </xf>
    <xf numFmtId="0" fontId="0" fillId="4" borderId="1" pivotButton="0" quotePrefix="0" xfId="0"/>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11" fillId="5" borderId="0" applyAlignment="1" pivotButton="0" quotePrefix="0" xfId="0">
      <alignment horizontal="center" vertical="center" wrapText="1"/>
    </xf>
    <xf numFmtId="0" fontId="2" fillId="3" borderId="0" applyAlignment="1" pivotButton="0" quotePrefix="0" xfId="0">
      <alignment horizontal="center" vertical="center" wrapText="1"/>
    </xf>
    <xf numFmtId="0" fontId="12" fillId="0" borderId="1" applyAlignment="1" pivotButton="0" quotePrefix="0" xfId="0">
      <alignment horizontal="right" vertical="center" wrapText="1"/>
    </xf>
    <xf numFmtId="0" fontId="13" fillId="5"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rightToLeft="1" workbookViewId="0">
      <selection activeCell="A1" sqref="A1"/>
    </sheetView>
  </sheetViews>
  <sheetFormatPr baseColWidth="8" defaultRowHeight="15"/>
  <cols>
    <col width="30" customWidth="1" min="1" max="1"/>
    <col width="50" customWidth="1" min="2" max="2"/>
  </cols>
  <sheetData>
    <row r="1" ht="40" customHeight="1">
      <c r="A1" s="1" t="inlineStr">
        <is>
          <t>خطة حملة Sky Lines الإعلانية — أبريل 2026</t>
        </is>
      </c>
    </row>
    <row r="3">
      <c r="A3" s="2" t="inlineStr">
        <is>
          <t>العنصر</t>
        </is>
      </c>
      <c r="B3" s="2" t="inlineStr">
        <is>
          <t>القيمة</t>
        </is>
      </c>
    </row>
    <row r="4">
      <c r="A4" s="3" t="inlineStr">
        <is>
          <t>اسم الحملة</t>
        </is>
      </c>
      <c r="B4" s="4" t="inlineStr">
        <is>
          <t>Sky Villas M7 — Expats Campaign</t>
        </is>
      </c>
    </row>
    <row r="5">
      <c r="A5" s="3" t="inlineStr">
        <is>
          <t>المشروع</t>
        </is>
      </c>
      <c r="B5" s="4" t="inlineStr">
        <is>
          <t>Sky Villas M7 — شرق النيل، بني سويف</t>
        </is>
      </c>
    </row>
    <row r="6">
      <c r="A6" s="3" t="inlineStr">
        <is>
          <t>العرض الحصري</t>
        </is>
      </c>
      <c r="B6" s="4" t="inlineStr">
        <is>
          <t>الشقة عليك والخدمات علينا (خصم لحد 200,000 ج)</t>
        </is>
      </c>
    </row>
    <row r="7">
      <c r="A7" s="3" t="inlineStr">
        <is>
          <t>الميزانية اليومية</t>
        </is>
      </c>
      <c r="B7" s="4" t="inlineStr">
        <is>
          <t>500 جنيه</t>
        </is>
      </c>
    </row>
    <row r="8">
      <c r="A8" s="3" t="inlineStr">
        <is>
          <t>الميزانية الشهرية</t>
        </is>
      </c>
      <c r="B8" s="4" t="inlineStr">
        <is>
          <t>15,000 جنيه</t>
        </is>
      </c>
    </row>
    <row r="9">
      <c r="A9" s="3" t="inlineStr">
        <is>
          <t>تاريخ البدء</t>
        </is>
      </c>
      <c r="B9" s="20" t="inlineStr">
        <is>
          <t>الأحد 20 أبريل 2026 (تم تسريع 3 أيام)</t>
        </is>
      </c>
    </row>
    <row r="10">
      <c r="A10" s="3" t="inlineStr">
        <is>
          <t>تاريخ المراجعة الأولى</t>
        </is>
      </c>
      <c r="B10" s="4" t="inlineStr">
        <is>
          <t>الاثنين 21 أبريل 2026</t>
        </is>
      </c>
    </row>
    <row r="11">
      <c r="A11" s="3" t="inlineStr">
        <is>
          <t>هدف تكلفة الليد</t>
        </is>
      </c>
      <c r="B11" s="4" t="inlineStr">
        <is>
          <t>8-10 جنيه</t>
        </is>
      </c>
    </row>
    <row r="12">
      <c r="A12" s="3" t="inlineStr">
        <is>
          <t>الليدات المتوقعة شهرياً</t>
        </is>
      </c>
      <c r="B12" s="4" t="inlineStr">
        <is>
          <t>1,500 - 1,800 ليد</t>
        </is>
      </c>
    </row>
    <row r="13">
      <c r="A13" s="3" t="inlineStr">
        <is>
          <t>المنصات</t>
        </is>
      </c>
      <c r="B13" s="4" t="inlineStr">
        <is>
          <t>Facebook + Instagram + Messenger</t>
        </is>
      </c>
    </row>
    <row r="14">
      <c r="A14" s="3" t="inlineStr">
        <is>
          <t>الأهداف الرئيسية</t>
        </is>
      </c>
      <c r="B14" s="4" t="inlineStr">
        <is>
          <t>Messages + Lead Forms</t>
        </is>
      </c>
    </row>
    <row r="15">
      <c r="A15" s="3" t="inlineStr">
        <is>
          <t>عدد الوحدات المتاحة</t>
        </is>
      </c>
      <c r="B15" s="4" t="inlineStr">
        <is>
          <t>7 وحدات سكنية + 5 محلات تجارية</t>
        </is>
      </c>
    </row>
    <row r="16">
      <c r="A16" s="3" t="inlineStr">
        <is>
          <t>AI Bot</t>
        </is>
      </c>
      <c r="B16" s="4" t="inlineStr">
        <is>
          <t>@SkyLinesLeadsBot + Messenger Bot</t>
        </is>
      </c>
    </row>
    <row r="17">
      <c r="A17" s="3" t="inlineStr">
        <is>
          <t>تقارير التتبع</t>
        </is>
      </c>
      <c r="B17" s="4" t="inlineStr">
        <is>
          <t>Telegram يومياً 9 م</t>
        </is>
      </c>
    </row>
    <row r="18"/>
    <row r="19"/>
    <row r="20"/>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rightToLeft="1" workbookViewId="0">
      <selection activeCell="A1" sqref="A1"/>
    </sheetView>
  </sheetViews>
  <sheetFormatPr baseColWidth="8" defaultRowHeight="15"/>
  <cols>
    <col width="5" customWidth="1" min="1" max="1"/>
    <col width="25" customWidth="1" min="2" max="2"/>
    <col width="30" customWidth="1" min="3" max="3"/>
    <col width="18" customWidth="1" min="4" max="4"/>
    <col width="18" customWidth="1" min="5" max="5"/>
    <col width="15" customWidth="1" min="6" max="6"/>
    <col width="25" customWidth="1" min="7" max="7"/>
  </cols>
  <sheetData>
    <row r="1" ht="30" customHeight="1">
      <c r="A1" s="5" t="inlineStr">
        <is>
          <t>توزيع الميزانية — 500 ج/يوم</t>
        </is>
      </c>
    </row>
    <row r="3">
      <c r="A3" s="2" t="inlineStr">
        <is>
          <t>#</t>
        </is>
      </c>
      <c r="B3" s="2" t="inlineStr">
        <is>
          <t>الحملة</t>
        </is>
      </c>
      <c r="C3" s="2" t="inlineStr">
        <is>
          <t>الجمهور</t>
        </is>
      </c>
      <c r="D3" s="2" t="inlineStr">
        <is>
          <t>ميزانية يومية (ج)</t>
        </is>
      </c>
      <c r="E3" s="2" t="inlineStr">
        <is>
          <t>ميزانية شهرية (ج)</t>
        </is>
      </c>
      <c r="F3" s="2" t="inlineStr">
        <is>
          <t>نوع الحملة</t>
        </is>
      </c>
      <c r="G3" s="2" t="inlineStr">
        <is>
          <t>الهدف</t>
        </is>
      </c>
    </row>
    <row r="4">
      <c r="A4" s="4" t="n">
        <v>1</v>
      </c>
      <c r="B4" s="4" t="inlineStr">
        <is>
          <t>Beni Suef Residents</t>
        </is>
      </c>
      <c r="C4" s="4" t="inlineStr">
        <is>
          <t>مقيمين بني سويف</t>
        </is>
      </c>
      <c r="D4" s="6" t="n">
        <v>150</v>
      </c>
      <c r="E4" s="7">
        <f>D4*30</f>
        <v/>
      </c>
      <c r="F4" s="4" t="inlineStr">
        <is>
          <t>Messages</t>
        </is>
      </c>
      <c r="G4" s="4" t="inlineStr">
        <is>
          <t>رسائل للبوت</t>
        </is>
      </c>
    </row>
    <row r="5">
      <c r="A5" s="4" t="n">
        <v>2</v>
      </c>
      <c r="B5" s="4" t="inlineStr">
        <is>
          <t>Expats — Education</t>
        </is>
      </c>
      <c r="C5" s="4" t="inlineStr">
        <is>
          <t>مسافرين درسوا في بني سويف</t>
        </is>
      </c>
      <c r="D5" s="6" t="n">
        <v>125</v>
      </c>
      <c r="E5" s="7">
        <f>D5*30</f>
        <v/>
      </c>
      <c r="F5" s="4" t="inlineStr">
        <is>
          <t>Messages</t>
        </is>
      </c>
      <c r="G5" s="4" t="inlineStr">
        <is>
          <t>رسائل للبوت</t>
        </is>
      </c>
    </row>
    <row r="6">
      <c r="A6" s="4" t="n">
        <v>3</v>
      </c>
      <c r="B6" s="4" t="inlineStr">
        <is>
          <t>Expats — Interests</t>
        </is>
      </c>
      <c r="C6" s="4" t="inlineStr">
        <is>
          <t>مسافرين مهتمين ببني سويف</t>
        </is>
      </c>
      <c r="D6" s="6" t="n">
        <v>75</v>
      </c>
      <c r="E6" s="7">
        <f>D6*30</f>
        <v/>
      </c>
      <c r="F6" s="4" t="inlineStr">
        <is>
          <t>Messages</t>
        </is>
      </c>
      <c r="G6" s="4" t="inlineStr">
        <is>
          <t>رسائل للبوت</t>
        </is>
      </c>
    </row>
    <row r="7">
      <c r="A7" s="4" t="n">
        <v>4</v>
      </c>
      <c r="B7" s="4" t="inlineStr">
        <is>
          <t>Lead Form Direct</t>
        </is>
      </c>
      <c r="C7" s="4" t="inlineStr">
        <is>
          <t>جميع المستهدفين — فورم مباشر</t>
        </is>
      </c>
      <c r="D7" s="6" t="n">
        <v>100</v>
      </c>
      <c r="E7" s="7">
        <f>D7*30</f>
        <v/>
      </c>
      <c r="F7" s="4" t="inlineStr">
        <is>
          <t>Lead Form</t>
        </is>
      </c>
      <c r="G7" s="4" t="inlineStr">
        <is>
          <t>فورم مباشر</t>
        </is>
      </c>
    </row>
    <row r="8">
      <c r="A8" s="4" t="n">
        <v>5</v>
      </c>
      <c r="B8" s="4" t="inlineStr">
        <is>
          <t>Retargeting Warm</t>
        </is>
      </c>
      <c r="C8" s="4" t="inlineStr">
        <is>
          <t>اللي تفاعل قبل كده</t>
        </is>
      </c>
      <c r="D8" s="6" t="n">
        <v>50</v>
      </c>
      <c r="E8" s="7">
        <f>D8*30</f>
        <v/>
      </c>
      <c r="F8" s="4" t="inlineStr">
        <is>
          <t>Messages</t>
        </is>
      </c>
      <c r="G8" s="4" t="inlineStr">
        <is>
          <t>تحويل</t>
        </is>
      </c>
    </row>
    <row r="9">
      <c r="A9" s="8" t="inlineStr"/>
      <c r="B9" s="9" t="inlineStr">
        <is>
          <t>الإجمالي</t>
        </is>
      </c>
      <c r="C9" s="8" t="n"/>
      <c r="D9" s="10">
        <f>SUM(D4:D8)</f>
        <v/>
      </c>
      <c r="E9" s="10">
        <f>SUM(E4:E8)</f>
        <v/>
      </c>
      <c r="F9" s="8" t="n"/>
      <c r="G9" s="8" t="n"/>
    </row>
    <row r="12">
      <c r="A12" s="11" t="inlineStr">
        <is>
          <t>العائد المتوقع</t>
        </is>
      </c>
    </row>
    <row r="13">
      <c r="A13" s="2" t="inlineStr">
        <is>
          <t>البند</t>
        </is>
      </c>
      <c r="B13" s="2" t="inlineStr">
        <is>
          <t>القيمة (ج)</t>
        </is>
      </c>
      <c r="C13" s="2" t="inlineStr">
        <is>
          <t>ملاحظة</t>
        </is>
      </c>
    </row>
    <row r="14">
      <c r="A14" s="12" t="inlineStr">
        <is>
          <t>استثمار الإعلانات الشهري</t>
        </is>
      </c>
      <c r="B14" s="13" t="n">
        <v>15000</v>
      </c>
      <c r="C14" s="12" t="inlineStr">
        <is>
          <t>Facebook Ads</t>
        </is>
      </c>
    </row>
    <row r="15">
      <c r="A15" s="12" t="inlineStr">
        <is>
          <t>تكلفة تصوير الدرون</t>
        </is>
      </c>
      <c r="B15" s="13" t="n">
        <v>3000</v>
      </c>
      <c r="C15" s="12" t="inlineStr">
        <is>
          <t>مرة واحدة (مش شهري)</t>
        </is>
      </c>
    </row>
    <row r="16">
      <c r="A16" s="12" t="inlineStr">
        <is>
          <t>إجمالي الاستثمار الشهر الأول</t>
        </is>
      </c>
      <c r="B16" s="13">
        <f>B14+B15</f>
        <v/>
      </c>
      <c r="C16" s="12" t="inlineStr">
        <is>
          <t>Ads + Drone</t>
        </is>
      </c>
    </row>
    <row r="17">
      <c r="A17" s="12" t="inlineStr">
        <is>
          <t>سعر وحدة واحدة (متوسط)</t>
        </is>
      </c>
      <c r="B17" s="13" t="n">
        <v>2200000</v>
      </c>
      <c r="C17" s="12" t="inlineStr">
        <is>
          <t>Sky Villas M7</t>
        </is>
      </c>
    </row>
    <row r="18">
      <c r="A18" s="12" t="inlineStr">
        <is>
          <t>لو بعنا وحدة واحدة فقط</t>
        </is>
      </c>
      <c r="B18" s="13">
        <f>B17-B16</f>
        <v/>
      </c>
      <c r="C18" s="12" t="inlineStr">
        <is>
          <t>صافي الربح</t>
        </is>
      </c>
    </row>
    <row r="19">
      <c r="A19" s="12" t="inlineStr">
        <is>
          <t>ROI %</t>
        </is>
      </c>
      <c r="B19" s="14">
        <f>(B18/B16)</f>
        <v/>
      </c>
      <c r="C19" s="12" t="inlineStr">
        <is>
          <t>عائد الاستثمار</t>
        </is>
      </c>
    </row>
  </sheetData>
  <mergeCells count="2">
    <mergeCell ref="A1:G1"/>
    <mergeCell ref="A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rightToLeft="1" workbookViewId="0">
      <selection activeCell="A1" sqref="A1"/>
    </sheetView>
  </sheetViews>
  <sheetFormatPr baseColWidth="8" defaultRowHeight="15"/>
  <cols>
    <col width="40" customWidth="1" min="1" max="1"/>
    <col width="80" customWidth="1" min="2" max="2"/>
  </cols>
  <sheetData>
    <row r="1" ht="30" customHeight="1">
      <c r="A1" s="5" t="inlineStr">
        <is>
          <t>استهداف الجمهور — 3 Audiences</t>
        </is>
      </c>
    </row>
    <row r="3">
      <c r="A3" s="2" t="inlineStr">
        <is>
          <t>🔵 Audience 1: Beni Suef Residents (40%)</t>
        </is>
      </c>
      <c r="B3" s="15" t="inlineStr">
        <is>
          <t>200 ج/يوم</t>
        </is>
      </c>
    </row>
    <row r="4">
      <c r="A4" s="16" t="inlineStr">
        <is>
          <t>Location</t>
        </is>
      </c>
      <c r="B4" s="17" t="inlineStr">
        <is>
          <t>بني سويف (40 km radius) + المقيمين فيها</t>
        </is>
      </c>
    </row>
    <row r="5">
      <c r="A5" s="16" t="inlineStr">
        <is>
          <t>Age Range</t>
        </is>
      </c>
      <c r="B5" s="17" t="inlineStr">
        <is>
          <t>28-55</t>
        </is>
      </c>
    </row>
    <row r="6">
      <c r="A6" s="16" t="inlineStr">
        <is>
          <t>Gender</t>
        </is>
      </c>
      <c r="B6" s="17" t="inlineStr">
        <is>
          <t>All</t>
        </is>
      </c>
    </row>
    <row r="7">
      <c r="A7" s="16" t="inlineStr">
        <is>
          <t>Language</t>
        </is>
      </c>
      <c r="B7" s="17" t="inlineStr">
        <is>
          <t>Arabic</t>
        </is>
      </c>
    </row>
    <row r="8">
      <c r="A8" s="16" t="inlineStr">
        <is>
          <t>Interests</t>
        </is>
      </c>
      <c r="B8" s="17" t="inlineStr">
        <is>
          <t>Real estate, Real estate investing, Property, Investment, Home improvement, Mortgage</t>
        </is>
      </c>
    </row>
    <row r="9">
      <c r="A9" s="16" t="inlineStr">
        <is>
          <t>Behaviors</t>
        </is>
      </c>
      <c r="B9" s="17" t="inlineStr">
        <is>
          <t>Small business owners, Frequent travelers, Likely to move</t>
        </is>
      </c>
    </row>
    <row r="10">
      <c r="A10" s="16" t="inlineStr"/>
      <c r="B10" s="17" t="inlineStr"/>
    </row>
    <row r="11">
      <c r="A11" s="2" t="inlineStr">
        <is>
          <t>🟢 Audience 2: Expats by Education (25%)</t>
        </is>
      </c>
      <c r="B11" s="15" t="inlineStr">
        <is>
          <t>125 ج/يوم</t>
        </is>
      </c>
    </row>
    <row r="12">
      <c r="A12" s="16" t="inlineStr">
        <is>
          <t>Location</t>
        </is>
      </c>
      <c r="B12" s="17" t="inlineStr">
        <is>
          <t>السعودية (الرياض، جدة، الدمام، الخبر) + الإمارات (دبي، أبوظبي) + الكويت + قطر + عُمان</t>
        </is>
      </c>
    </row>
    <row r="13">
      <c r="A13" s="16" t="inlineStr">
        <is>
          <t>Age Range</t>
        </is>
      </c>
      <c r="B13" s="17" t="inlineStr">
        <is>
          <t>28-55</t>
        </is>
      </c>
    </row>
    <row r="14">
      <c r="A14" s="16" t="inlineStr">
        <is>
          <t>Language</t>
        </is>
      </c>
      <c r="B14" s="17" t="inlineStr">
        <is>
          <t>Arabic (Egyptian)</t>
        </is>
      </c>
    </row>
    <row r="15">
      <c r="A15" s="16" t="inlineStr">
        <is>
          <t>Schools</t>
        </is>
      </c>
      <c r="B15" s="17" t="inlineStr">
        <is>
          <t>جامعة بني سويف, Beni Suef University, كلية الهندسة جامعة بني سويف, كلية الطب جامعة بني سويف, Beni Suef Technical Institute, Beni Suef Azhar Institute, Ahmed Orabi Secondary Beni Suef, El Orman School Beni Suef, Beni Suef Experimental School</t>
        </is>
      </c>
    </row>
    <row r="16">
      <c r="A16" s="16" t="inlineStr">
        <is>
          <t>Behaviors</t>
        </is>
      </c>
      <c r="B16" s="17" t="inlineStr">
        <is>
          <t>Expats — lived in Egypt, Expats — Egypt</t>
        </is>
      </c>
    </row>
    <row r="17">
      <c r="A17" s="16" t="inlineStr"/>
      <c r="B17" s="17" t="inlineStr"/>
    </row>
    <row r="18">
      <c r="A18" s="2" t="inlineStr">
        <is>
          <t>🟡 Audience 3: Expats by Interests (15%)</t>
        </is>
      </c>
      <c r="B18" s="15" t="inlineStr">
        <is>
          <t>75 ج/يوم</t>
        </is>
      </c>
    </row>
    <row r="19">
      <c r="A19" s="16" t="inlineStr">
        <is>
          <t>Location</t>
        </is>
      </c>
      <c r="B19" s="17" t="inlineStr">
        <is>
          <t>نفس دول الخليج</t>
        </is>
      </c>
    </row>
    <row r="20">
      <c r="A20" s="16" t="inlineStr">
        <is>
          <t>Interests</t>
        </is>
      </c>
      <c r="B20" s="17" t="inlineStr">
        <is>
          <t>Beni Suef, Beni Suef Governorate, محافظة بني سويف, شرق النيل بني سويف, El Wasta, إهناسيا, الفشن, نادي بني سويف الرياضي</t>
        </is>
      </c>
    </row>
    <row r="21">
      <c r="A21" s="16" t="inlineStr">
        <is>
          <t>AND Also</t>
        </is>
      </c>
      <c r="B21" s="17" t="inlineStr">
        <is>
          <t>Real estate investing, Property investment, Egyptian real estate</t>
        </is>
      </c>
    </row>
    <row r="22">
      <c r="A22" s="16" t="inlineStr"/>
      <c r="B22" s="17" t="inlineStr"/>
    </row>
    <row r="23">
      <c r="A23" s="2" t="inlineStr">
        <is>
          <t>🔴 Audience 4: Lead Form (20%)</t>
        </is>
      </c>
      <c r="B23" s="15" t="inlineStr">
        <is>
          <t>100 ج/يوم</t>
        </is>
      </c>
    </row>
    <row r="24">
      <c r="A24" s="16" t="inlineStr">
        <is>
          <t>Mix</t>
        </is>
      </c>
      <c r="B24" s="17" t="inlineStr">
        <is>
          <t>كل الـ Audiences السابقة بـ Lead Form Objective</t>
        </is>
      </c>
    </row>
    <row r="25">
      <c r="A25" s="16" t="inlineStr">
        <is>
          <t>Form Fields</t>
        </is>
      </c>
      <c r="B25" s="17" t="inlineStr">
        <is>
          <t>الاسم, التليفون, المدينة الحالية, ميزانية الشراء</t>
        </is>
      </c>
    </row>
    <row r="26">
      <c r="A26" s="16" t="inlineStr"/>
      <c r="B26" s="17" t="inlineStr"/>
    </row>
    <row r="27">
      <c r="A27" s="2" t="inlineStr">
        <is>
          <t>🟣 Audience 5: Retargeting (10%)</t>
        </is>
      </c>
      <c r="B27" s="15" t="inlineStr">
        <is>
          <t>50 ج/يوم</t>
        </is>
      </c>
    </row>
    <row r="28">
      <c r="A28" s="16" t="inlineStr">
        <is>
          <t>Custom Audience</t>
        </is>
      </c>
      <c r="B28" s="17" t="inlineStr">
        <is>
          <t>اللي تفاعل مع البيدج آخر 90 يوم + اللي بعتوا رسالة + Video Viewers 50%+</t>
        </is>
      </c>
    </row>
    <row r="29">
      <c r="A29" s="16" t="inlineStr">
        <is>
          <t>Lookalike</t>
        </is>
      </c>
      <c r="B29" s="17" t="inlineStr">
        <is>
          <t>2% من قائمة العملاء الحاليين (لو متوفرة)</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rightToLeft="1" workbookViewId="0">
      <selection activeCell="A1" sqref="A1"/>
    </sheetView>
  </sheetViews>
  <sheetFormatPr baseColWidth="8" defaultRowHeight="15"/>
  <cols>
    <col width="20" customWidth="1" min="1" max="1"/>
    <col width="80" customWidth="1" min="2" max="2"/>
  </cols>
  <sheetData>
    <row r="1" ht="30" customHeight="1">
      <c r="A1" s="5" t="inlineStr">
        <is>
          <t>نصوص الإعلانات — 3 نسخ</t>
        </is>
      </c>
    </row>
    <row r="3">
      <c r="A3" s="2" t="inlineStr">
        <is>
          <t>Ad 1: العرض الرئيسي (للمقيمين)</t>
        </is>
      </c>
      <c r="B3" s="18" t="inlineStr"/>
    </row>
    <row r="4" ht="200" customHeight="1">
      <c r="A4" s="16" t="inlineStr">
        <is>
          <t>Primary Text</t>
        </is>
      </c>
      <c r="B4" s="19" t="inlineStr">
        <is>
          <t>🎉 الشقة عليك والخدمات علينا!
عرض حصري من Sky Lines — وفّر لحد 200,000 جنيه على مشروع Sky Villas M7 في شرق النيل، بني سويف.
✅ مقدم 50% والباقي 15 شهر بدون فوايد
✅ موقع استراتيجي قرب طريق الأربع حارات
✅ تصميم كلاسيكي أوروبي فاخر
✅ 7 وحدات متاحة بس!
ابعتلنا رسالة دلوقتي ومساعدنا الذكي هيرد عليك فوراً 🤖</t>
        </is>
      </c>
    </row>
    <row r="5">
      <c r="A5" s="16" t="inlineStr">
        <is>
          <t>Headline</t>
        </is>
      </c>
      <c r="B5" s="19" t="inlineStr">
        <is>
          <t>وفّر 200,000 جنيه — Sky Villas M7</t>
        </is>
      </c>
    </row>
    <row r="6">
      <c r="A6" s="16" t="inlineStr">
        <is>
          <t>Description</t>
        </is>
      </c>
      <c r="B6" s="19" t="inlineStr">
        <is>
          <t>عرض محدود — الشقة عليك والخدمات علينا</t>
        </is>
      </c>
    </row>
    <row r="7">
      <c r="A7" s="16" t="inlineStr">
        <is>
          <t>CTA Button</t>
        </is>
      </c>
      <c r="B7" s="19" t="inlineStr">
        <is>
          <t>Send Message</t>
        </is>
      </c>
    </row>
    <row r="8">
      <c r="A8" s="16" t="inlineStr"/>
      <c r="B8" s="19" t="inlineStr"/>
    </row>
    <row r="9">
      <c r="A9" s="2" t="inlineStr">
        <is>
          <t>Ad 2: للمسافرين (Expats)</t>
        </is>
      </c>
      <c r="B9" s="18" t="inlineStr"/>
    </row>
    <row r="10" ht="200" customHeight="1">
      <c r="A10" s="16" t="inlineStr">
        <is>
          <t>Primary Text</t>
        </is>
      </c>
      <c r="B10" s="19" t="inlineStr">
        <is>
          <t>بعيد عن بني سويف بس قلبك لسه هناك؟ ❤️
لما ترجع تلاقي بيتك مستنيك في Sky Villas M7 — شرق النيل، قلب الحي الرابع.
🏡 شقق فاخرة بتصميم كلاسيكي أوروبي
💰 استثمار آمن بالجنيه المصري
📍 موقع مميز قرب كل الخدمات
💳 ادفع من الخليج بـ 50% مقدم والباقي قسط
🎁 عرض محدود: الخدمات علينا (توفير لحد 200 ألف ج)
ابعتلنا وهنرتب معاك كل حاجة عن بُعد 📲</t>
        </is>
      </c>
    </row>
    <row r="11">
      <c r="A11" s="16" t="inlineStr">
        <is>
          <t>Headline</t>
        </is>
      </c>
      <c r="B11" s="19" t="inlineStr">
        <is>
          <t>بيتك في بني سويف — جاهز استقبالك</t>
        </is>
      </c>
    </row>
    <row r="12">
      <c r="A12" s="16" t="inlineStr">
        <is>
          <t>Description</t>
        </is>
      </c>
      <c r="B12" s="19" t="inlineStr">
        <is>
          <t>شقق Sky Villas M7 — استثمار بالجنيه</t>
        </is>
      </c>
    </row>
    <row r="13">
      <c r="A13" s="16" t="inlineStr">
        <is>
          <t>CTA Button</t>
        </is>
      </c>
      <c r="B13" s="19" t="inlineStr">
        <is>
          <t>Send Message</t>
        </is>
      </c>
    </row>
    <row r="14">
      <c r="A14" s="16" t="inlineStr"/>
      <c r="B14" s="19" t="inlineStr"/>
    </row>
    <row r="15">
      <c r="A15" s="2" t="inlineStr">
        <is>
          <t>Ad 3: Urgency</t>
        </is>
      </c>
      <c r="B15" s="18" t="inlineStr"/>
    </row>
    <row r="16" ht="200" customHeight="1">
      <c r="A16" s="16" t="inlineStr">
        <is>
          <t>Primary Text</t>
        </is>
      </c>
      <c r="B16" s="19" t="inlineStr">
        <is>
          <t>⚠️ باقي 7 وحدات بس من Sky Villas M7!
آخر فرصة تحجز شقتك قبل ما يخلص العرض:
🔥 مقدم 50% فقط
🔥 قسط 15 شهر
🔥 خصم 200 ألف جنيه
🔥 استلام يوليو 2027
الأسعار في بني سويف بتطلع شهرياً — كل يوم تأخير بيزود السعر.
كلمنا دلوقتي قبل ما يخلص التوافر 📞</t>
        </is>
      </c>
    </row>
    <row r="17">
      <c r="A17" s="16" t="inlineStr">
        <is>
          <t>Headline</t>
        </is>
      </c>
      <c r="B17" s="19" t="inlineStr">
        <is>
          <t>آخر 7 وحدات — فرصة لن تتكرر</t>
        </is>
      </c>
    </row>
    <row r="18">
      <c r="A18" s="16" t="inlineStr">
        <is>
          <t>CTA Button</t>
        </is>
      </c>
      <c r="B18" s="19" t="inlineStr">
        <is>
          <t>Send Message</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rightToLeft="1" workbookViewId="0">
      <selection activeCell="A1" sqref="A1"/>
    </sheetView>
  </sheetViews>
  <sheetFormatPr baseColWidth="8" defaultRowHeight="15"/>
  <cols>
    <col width="20" customWidth="1" min="1" max="1"/>
    <col width="20" customWidth="1" min="2" max="2"/>
    <col width="50" customWidth="1" min="3" max="3"/>
    <col width="25" customWidth="1" min="4" max="4"/>
  </cols>
  <sheetData>
    <row r="1" ht="30" customHeight="1">
      <c r="A1" s="5" t="inlineStr">
        <is>
          <t>🚀 الجدول الزمني المُسرّع — الدرون اتعمل خلاص!</t>
        </is>
      </c>
    </row>
    <row r="3">
      <c r="A3" s="2" t="inlineStr">
        <is>
          <t>التاريخ</t>
        </is>
      </c>
      <c r="B3" s="2" t="inlineStr">
        <is>
          <t>اليوم</t>
        </is>
      </c>
      <c r="C3" s="2" t="inlineStr">
        <is>
          <t>المهمة</t>
        </is>
      </c>
      <c r="D3" s="2" t="inlineStr">
        <is>
          <t>المسؤول</t>
        </is>
      </c>
    </row>
    <row r="4">
      <c r="A4" s="29" t="inlineStr">
        <is>
          <t>17 أبريل 2026</t>
        </is>
      </c>
      <c r="B4" s="29" t="inlineStr">
        <is>
          <t>الخميس (اليوم)</t>
        </is>
      </c>
      <c r="C4" s="29" t="inlineStr">
        <is>
          <t>✅ تشغيل Telegram Bot</t>
        </is>
      </c>
      <c r="D4" s="29" t="inlineStr">
        <is>
          <t>Claude — تم</t>
        </is>
      </c>
    </row>
    <row r="5">
      <c r="A5" s="29" t="inlineStr">
        <is>
          <t>17 أبريل 2026</t>
        </is>
      </c>
      <c r="B5" s="29" t="inlineStr">
        <is>
          <t>الخميس</t>
        </is>
      </c>
      <c r="C5" s="29" t="inlineStr">
        <is>
          <t>✅ حذف بوستات التوظيف (HR + Architect)</t>
        </is>
      </c>
      <c r="D5" s="29" t="inlineStr">
        <is>
          <t>Claude — تم</t>
        </is>
      </c>
    </row>
    <row r="6">
      <c r="A6" s="29" t="inlineStr">
        <is>
          <t>17 أبريل 2026</t>
        </is>
      </c>
      <c r="B6" s="29" t="inlineStr">
        <is>
          <t>الخميس</t>
        </is>
      </c>
      <c r="C6" s="29" t="inlineStr">
        <is>
          <t>✅ تجديد Railway سنة كاملة</t>
        </is>
      </c>
      <c r="D6" s="29" t="inlineStr">
        <is>
          <t>Abbas — تم</t>
        </is>
      </c>
    </row>
    <row r="7">
      <c r="A7" s="29" t="inlineStr">
        <is>
          <t>17 أبريل 2026</t>
        </is>
      </c>
      <c r="B7" s="29" t="inlineStr">
        <is>
          <t>الخميس</t>
        </is>
      </c>
      <c r="C7" s="29" t="inlineStr">
        <is>
          <t>✅ تصوير الدرون</t>
        </is>
      </c>
      <c r="D7" s="29" t="inlineStr">
        <is>
          <t>Abbas — تم</t>
        </is>
      </c>
    </row>
    <row r="8">
      <c r="A8" s="4" t="inlineStr">
        <is>
          <t>17 أبريل 2026</t>
        </is>
      </c>
      <c r="B8" s="4" t="inlineStr">
        <is>
          <t>الخميس مساءً</t>
        </is>
      </c>
      <c r="C8" s="4" t="inlineStr">
        <is>
          <t>🔄 رفع فيديو الدرون للمونتاج</t>
        </is>
      </c>
      <c r="D8" s="4" t="inlineStr">
        <is>
          <t>Abbas</t>
        </is>
      </c>
    </row>
    <row r="9">
      <c r="A9" s="4" t="inlineStr">
        <is>
          <t>18 أبريل 2026</t>
        </is>
      </c>
      <c r="B9" s="4" t="inlineStr">
        <is>
          <t>الجمعة</t>
        </is>
      </c>
      <c r="C9" s="4" t="inlineStr">
        <is>
          <t>🎬 مونتاج فيديو الدرون (60 ثانية)</t>
        </is>
      </c>
      <c r="D9" s="4" t="inlineStr">
        <is>
          <t>فريق المونتاج</t>
        </is>
      </c>
    </row>
    <row r="10">
      <c r="A10" s="4" t="inlineStr">
        <is>
          <t>18 أبريل 2026</t>
        </is>
      </c>
      <c r="B10" s="4" t="inlineStr">
        <is>
          <t>الجمعة</t>
        </is>
      </c>
      <c r="C10" s="4" t="inlineStr">
        <is>
          <t>🎨 تصميم 4 صور إعلانية (Carousel)</t>
        </is>
      </c>
      <c r="D10" s="4" t="inlineStr">
        <is>
          <t>Designer</t>
        </is>
      </c>
    </row>
    <row r="11">
      <c r="A11" s="4" t="inlineStr">
        <is>
          <t>18 أبريل 2026</t>
        </is>
      </c>
      <c r="B11" s="4" t="inlineStr">
        <is>
          <t>الجمعة</t>
        </is>
      </c>
      <c r="C11" s="4" t="inlineStr">
        <is>
          <t>📝 مراجعة نصوص الإعلانات النهائية</t>
        </is>
      </c>
      <c r="D11" s="4" t="inlineStr">
        <is>
          <t>Abbas + Claude</t>
        </is>
      </c>
    </row>
    <row r="12">
      <c r="A12" s="30" t="inlineStr">
        <is>
          <t>19 أبريل 2026</t>
        </is>
      </c>
      <c r="B12" s="30" t="inlineStr">
        <is>
          <t>السبت ⚡</t>
        </is>
      </c>
      <c r="C12" s="30" t="inlineStr">
        <is>
          <t>🚀 رفع الكامبين في Ads Manager (Draft)</t>
        </is>
      </c>
      <c r="D12" s="30" t="inlineStr">
        <is>
          <t>Claude</t>
        </is>
      </c>
    </row>
    <row r="13">
      <c r="A13" s="29" t="inlineStr">
        <is>
          <t>19 أبريل 2026</t>
        </is>
      </c>
      <c r="B13" s="29" t="inlineStr">
        <is>
          <t>السبت</t>
        </is>
      </c>
      <c r="C13" s="29" t="inlineStr">
        <is>
          <t>✅ مراجعة Abbas + إجازة</t>
        </is>
      </c>
      <c r="D13" s="29" t="inlineStr">
        <is>
          <t>Abbas</t>
        </is>
      </c>
    </row>
    <row r="14">
      <c r="A14" s="20" t="inlineStr">
        <is>
          <t>20 أبريل 2026</t>
        </is>
      </c>
      <c r="B14" s="20" t="inlineStr">
        <is>
          <t>الأحد 🔥</t>
        </is>
      </c>
      <c r="C14" s="20" t="inlineStr">
        <is>
          <t>▶️ بداية الحملة (Go Live)</t>
        </is>
      </c>
      <c r="D14" s="20" t="inlineStr">
        <is>
          <t>Facebook Ads</t>
        </is>
      </c>
    </row>
    <row r="15">
      <c r="A15" s="4" t="inlineStr">
        <is>
          <t>20 أبريل 2026</t>
        </is>
      </c>
      <c r="B15" s="4" t="inlineStr">
        <is>
          <t>الأحد</t>
        </is>
      </c>
      <c r="C15" s="4" t="inlineStr">
        <is>
          <t>📊 مراقبة أول 6 ساعات</t>
        </is>
      </c>
      <c r="D15" s="4" t="inlineStr">
        <is>
          <t>Claude</t>
        </is>
      </c>
    </row>
    <row r="16">
      <c r="A16" s="4" t="inlineStr">
        <is>
          <t>21 أبريل 2026</t>
        </is>
      </c>
      <c r="B16" s="4" t="inlineStr">
        <is>
          <t>الاثنين</t>
        </is>
      </c>
      <c r="C16" s="4" t="inlineStr">
        <is>
          <t>🔍 أول مراجعة (24 ساعة)</t>
        </is>
      </c>
      <c r="D16" s="4" t="inlineStr">
        <is>
          <t>Claude + Abbas</t>
        </is>
      </c>
    </row>
    <row r="17">
      <c r="A17" s="4" t="inlineStr">
        <is>
          <t>23 أبريل 2026</t>
        </is>
      </c>
      <c r="B17" s="4" t="inlineStr">
        <is>
          <t>الأربعاء</t>
        </is>
      </c>
      <c r="C17" s="4" t="inlineStr">
        <is>
          <t>⚙️ مراجعة 3 أيام + تعديل Audiences</t>
        </is>
      </c>
      <c r="D17" s="4" t="inlineStr">
        <is>
          <t>Claude + Abbas</t>
        </is>
      </c>
    </row>
    <row r="18">
      <c r="A18" s="4" t="inlineStr">
        <is>
          <t>27 أبريل 2026</t>
        </is>
      </c>
      <c r="B18" s="4" t="inlineStr">
        <is>
          <t>الأحد</t>
        </is>
      </c>
      <c r="C18" s="4" t="inlineStr">
        <is>
          <t>📈 تقرير الأسبوع الأول</t>
        </is>
      </c>
      <c r="D18" s="4" t="inlineStr">
        <is>
          <t>Claude</t>
        </is>
      </c>
    </row>
    <row r="19">
      <c r="A19" s="4" t="inlineStr">
        <is>
          <t>4 مايو 2026</t>
        </is>
      </c>
      <c r="B19" s="4" t="inlineStr">
        <is>
          <t>الاثنين</t>
        </is>
      </c>
      <c r="C19" s="4" t="inlineStr">
        <is>
          <t>📈 تقرير الأسبوعين</t>
        </is>
      </c>
      <c r="D19" s="4" t="inlineStr">
        <is>
          <t>Claude</t>
        </is>
      </c>
    </row>
    <row r="20">
      <c r="A20" s="4" t="inlineStr">
        <is>
          <t>20 مايو 2026</t>
        </is>
      </c>
      <c r="B20" s="4" t="inlineStr">
        <is>
          <t>الأربعاء</t>
        </is>
      </c>
      <c r="C20" s="4" t="inlineStr">
        <is>
          <t>📈 تقرير الشهر الأول</t>
        </is>
      </c>
      <c r="D20" s="4" t="inlineStr">
        <is>
          <t>Claude</t>
        </is>
      </c>
    </row>
    <row r="21">
      <c r="A21" s="4" t="inlineStr">
        <is>
          <t>يومياً 9 م</t>
        </is>
      </c>
      <c r="B21" s="4" t="inlineStr">
        <is>
          <t>كل يوم</t>
        </is>
      </c>
      <c r="C21" s="4" t="inlineStr">
        <is>
          <t>📲 تقرير Telegram تلقائي</t>
        </is>
      </c>
      <c r="D21" s="4" t="inlineStr">
        <is>
          <t>البوت 🤖</t>
        </is>
      </c>
    </row>
    <row r="24" ht="30" customHeight="1">
      <c r="A24" s="31" t="inlineStr">
        <is>
          <t>🎉 وفّرنا 3 أيام كاملة — الإطلاق هيتم الأحد 20 أبريل بدلاً من الثلاثاء 22!</t>
        </is>
      </c>
    </row>
  </sheetData>
  <mergeCells count="2">
    <mergeCell ref="A1:D1"/>
    <mergeCell ref="A24: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rightToLeft="1" workbookViewId="0">
      <selection activeCell="A1" sqref="A1"/>
    </sheetView>
  </sheetViews>
  <sheetFormatPr baseColWidth="8" defaultRowHeight="15"/>
  <cols>
    <col width="30" customWidth="1" min="1" max="1"/>
    <col width="15" customWidth="1" min="2" max="2"/>
    <col width="18" customWidth="1" min="3" max="3"/>
    <col width="15" customWidth="1" min="4" max="4"/>
    <col width="30" customWidth="1" min="5" max="5"/>
  </cols>
  <sheetData>
    <row r="1" ht="30" customHeight="1">
      <c r="A1" s="5" t="inlineStr">
        <is>
          <t>المؤشرات والنتائج المتوقعة (KPIs)</t>
        </is>
      </c>
    </row>
    <row r="3">
      <c r="A3" s="2" t="inlineStr">
        <is>
          <t>المؤشر</t>
        </is>
      </c>
      <c r="B3" s="2" t="inlineStr">
        <is>
          <t>قبل الحملة</t>
        </is>
      </c>
      <c r="C3" s="2" t="inlineStr">
        <is>
          <t>الهدف الشهري</t>
        </is>
      </c>
      <c r="D3" s="2" t="inlineStr">
        <is>
          <t>الهدف (يومي)</t>
        </is>
      </c>
      <c r="E3" s="2" t="inlineStr">
        <is>
          <t>ملاحظات</t>
        </is>
      </c>
    </row>
    <row r="4">
      <c r="A4" s="3" t="inlineStr">
        <is>
          <t>Reach</t>
        </is>
      </c>
      <c r="B4" s="4" t="inlineStr">
        <is>
          <t>500</t>
        </is>
      </c>
      <c r="C4" s="6" t="n">
        <v>100000</v>
      </c>
      <c r="D4" s="21">
        <f>C4/30</f>
        <v/>
      </c>
      <c r="E4" s="4" t="inlineStr">
        <is>
          <t>زيادة 200x</t>
        </is>
      </c>
    </row>
    <row r="5">
      <c r="A5" s="3" t="inlineStr">
        <is>
          <t>Impressions</t>
        </is>
      </c>
      <c r="B5" s="4" t="inlineStr">
        <is>
          <t>2,000</t>
        </is>
      </c>
      <c r="C5" s="6" t="n">
        <v>500000</v>
      </c>
      <c r="D5" s="21">
        <f>C5/30</f>
        <v/>
      </c>
      <c r="E5" s="4" t="inlineStr">
        <is>
          <t>زيادة 250x</t>
        </is>
      </c>
    </row>
    <row r="6">
      <c r="A6" s="3" t="inlineStr">
        <is>
          <t>CTR % (Click-through)</t>
        </is>
      </c>
      <c r="B6" s="4" t="inlineStr">
        <is>
          <t>N/A</t>
        </is>
      </c>
      <c r="C6" s="4" t="inlineStr">
        <is>
          <t>2.5%</t>
        </is>
      </c>
      <c r="D6" s="4" t="inlineStr"/>
      <c r="E6" s="4" t="inlineStr">
        <is>
          <t>معدل النقر</t>
        </is>
      </c>
    </row>
    <row r="7">
      <c r="A7" s="3" t="inlineStr">
        <is>
          <t>Messages/Conversations</t>
        </is>
      </c>
      <c r="B7" s="4" t="inlineStr">
        <is>
          <t>5</t>
        </is>
      </c>
      <c r="C7" s="6" t="n">
        <v>1800</v>
      </c>
      <c r="D7" s="21">
        <f>C7/30</f>
        <v/>
      </c>
      <c r="E7" s="4" t="inlineStr">
        <is>
          <t>هدف أساسي</t>
        </is>
      </c>
    </row>
    <row r="8">
      <c r="A8" s="3" t="inlineStr">
        <is>
          <t>Lead Forms Submitted</t>
        </is>
      </c>
      <c r="B8" s="4" t="inlineStr">
        <is>
          <t>0</t>
        </is>
      </c>
      <c r="C8" s="6" t="n">
        <v>600</v>
      </c>
      <c r="D8" s="21">
        <f>C8/30</f>
        <v/>
      </c>
      <c r="E8" s="4" t="inlineStr">
        <is>
          <t>هدف ثانوي</t>
        </is>
      </c>
    </row>
    <row r="9">
      <c r="A9" s="3" t="inlineStr">
        <is>
          <t>Qualified Leads (من البوت)</t>
        </is>
      </c>
      <c r="B9" s="4" t="inlineStr">
        <is>
          <t>2</t>
        </is>
      </c>
      <c r="C9" s="6" t="n">
        <v>450</v>
      </c>
      <c r="D9" s="21">
        <f>C9/30</f>
        <v/>
      </c>
      <c r="E9" s="4" t="inlineStr">
        <is>
          <t>25% qualification</t>
        </is>
      </c>
    </row>
    <row r="10">
      <c r="A10" s="3" t="inlineStr">
        <is>
          <t>Cost per Lead (ج)</t>
        </is>
      </c>
      <c r="B10" s="4" t="inlineStr">
        <is>
          <t>—</t>
        </is>
      </c>
      <c r="C10" s="6" t="n">
        <v>10</v>
      </c>
      <c r="D10" s="4" t="inlineStr"/>
      <c r="E10" s="4" t="inlineStr">
        <is>
          <t>HARD CAP — مش أكتر</t>
        </is>
      </c>
    </row>
    <row r="11">
      <c r="A11" s="3" t="inlineStr">
        <is>
          <t>Cost per Qualified Lead (ج)</t>
        </is>
      </c>
      <c r="B11" s="4" t="inlineStr">
        <is>
          <t>—</t>
        </is>
      </c>
      <c r="C11" s="6" t="n">
        <v>35</v>
      </c>
      <c r="D11" s="4" t="inlineStr"/>
      <c r="E11" s="4" t="inlineStr">
        <is>
          <t>هدف الـ CPQL</t>
        </is>
      </c>
    </row>
    <row r="12">
      <c r="A12" s="3" t="inlineStr">
        <is>
          <t>Spend total (ج)</t>
        </is>
      </c>
      <c r="B12" s="4" t="inlineStr">
        <is>
          <t>0</t>
        </is>
      </c>
      <c r="C12" s="6" t="n">
        <v>15000</v>
      </c>
      <c r="D12" s="21">
        <f>C11/30</f>
        <v/>
      </c>
      <c r="E12" s="4" t="inlineStr">
        <is>
          <t>Daily 500</t>
        </is>
      </c>
    </row>
    <row r="13">
      <c r="A13" s="3" t="inlineStr">
        <is>
          <t>صفقات مغلقة (estimate)</t>
        </is>
      </c>
      <c r="B13" s="4" t="inlineStr">
        <is>
          <t>0-1</t>
        </is>
      </c>
      <c r="C13" s="4" t="inlineStr">
        <is>
          <t>5-15</t>
        </is>
      </c>
      <c r="D13" s="4" t="inlineStr"/>
      <c r="E13" s="4" t="inlineStr">
        <is>
          <t>conversion 1-3%</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rightToLeft="1" workbookViewId="0">
      <selection activeCell="A1" sqref="A1"/>
    </sheetView>
  </sheetViews>
  <sheetFormatPr baseColWidth="8" defaultRowHeight="15"/>
  <cols>
    <col width="30" customWidth="1" min="1" max="1"/>
    <col width="45" customWidth="1" min="2" max="2"/>
    <col width="35" customWidth="1" min="3" max="3"/>
  </cols>
  <sheetData>
    <row r="1" ht="30" customHeight="1">
      <c r="A1" s="5" t="inlineStr">
        <is>
          <t>مواصفات الإعلانات البصرية</t>
        </is>
      </c>
    </row>
    <row r="3">
      <c r="A3" s="2" t="inlineStr">
        <is>
          <t>النوع</t>
        </is>
      </c>
      <c r="B3" s="2" t="inlineStr">
        <is>
          <t>المقاسات</t>
        </is>
      </c>
      <c r="C3" s="2" t="inlineStr">
        <is>
          <t>الملاحظات</t>
        </is>
      </c>
    </row>
    <row r="4">
      <c r="A4" s="17" t="inlineStr">
        <is>
          <t>فيديو Feed (مربع)</t>
        </is>
      </c>
      <c r="B4" s="17" t="inlineStr">
        <is>
          <t>1080 × 1080 px — 15-60 ثانية</t>
        </is>
      </c>
      <c r="C4" s="17" t="inlineStr">
        <is>
          <t>للـ News Feed</t>
        </is>
      </c>
    </row>
    <row r="5">
      <c r="A5" s="17" t="inlineStr">
        <is>
          <t>فيديو Stories/Reels</t>
        </is>
      </c>
      <c r="B5" s="17" t="inlineStr">
        <is>
          <t>1080 × 1920 px — 9:16 — حتى 90 ثانية</t>
        </is>
      </c>
      <c r="C5" s="17" t="inlineStr">
        <is>
          <t>للـ Stories والـ Reels</t>
        </is>
      </c>
    </row>
    <row r="6">
      <c r="A6" s="17" t="inlineStr">
        <is>
          <t>صورة Feed</t>
        </is>
      </c>
      <c r="B6" s="17" t="inlineStr">
        <is>
          <t>1200 × 1200 px — PNG/JPG</t>
        </is>
      </c>
      <c r="C6" s="17" t="inlineStr">
        <is>
          <t>لـ Facebook Feed</t>
        </is>
      </c>
    </row>
    <row r="7">
      <c r="A7" s="17" t="inlineStr">
        <is>
          <t>صورة Stories</t>
        </is>
      </c>
      <c r="B7" s="17" t="inlineStr">
        <is>
          <t>1080 × 1920 px — 9:16</t>
        </is>
      </c>
      <c r="C7" s="17" t="inlineStr">
        <is>
          <t>لـ Instagram Stories</t>
        </is>
      </c>
    </row>
    <row r="8">
      <c r="A8" s="17" t="inlineStr">
        <is>
          <t>Carousel (4 صور)</t>
        </is>
      </c>
      <c r="B8" s="17" t="inlineStr">
        <is>
          <t>1080 × 1080 px لكل صورة</t>
        </is>
      </c>
      <c r="C8" s="17" t="inlineStr">
        <is>
          <t>لعرض 4 وحدات</t>
        </is>
      </c>
    </row>
    <row r="9">
      <c r="A9" s="9" t="inlineStr"/>
      <c r="B9" s="17" t="inlineStr"/>
      <c r="C9" s="17" t="inlineStr"/>
    </row>
    <row r="10">
      <c r="A10" s="17" t="inlineStr">
        <is>
          <t>النص على الصورة</t>
        </is>
      </c>
      <c r="B10" s="17" t="inlineStr">
        <is>
          <t>لا يزيد عن 20%</t>
        </is>
      </c>
      <c r="C10" s="17" t="inlineStr">
        <is>
          <t>قاعدة فيسبوك</t>
        </is>
      </c>
    </row>
    <row r="11">
      <c r="A11" s="17" t="inlineStr">
        <is>
          <t>ألوان Sky Lines</t>
        </is>
      </c>
      <c r="B11" s="17" t="inlineStr">
        <is>
          <t>بنفسجي فاخر (#5B21B6) + ذهبي (#F59E0B)</t>
        </is>
      </c>
      <c r="C11" s="17" t="inlineStr">
        <is>
          <t>الهوية البصرية</t>
        </is>
      </c>
    </row>
    <row r="12">
      <c r="A12" s="17" t="inlineStr">
        <is>
          <t>Font عربي</t>
        </is>
      </c>
      <c r="B12" s="17" t="inlineStr">
        <is>
          <t>Cairo أو Tajawal أو IBM Plex Arabic</t>
        </is>
      </c>
      <c r="C12" s="17" t="inlineStr">
        <is>
          <t>خط حديث واضح</t>
        </is>
      </c>
    </row>
    <row r="13">
      <c r="A13" s="17" t="inlineStr">
        <is>
          <t>Logo Placement</t>
        </is>
      </c>
      <c r="B13" s="17" t="inlineStr">
        <is>
          <t>أعلى يمين (10% من الصورة)</t>
        </is>
      </c>
      <c r="C13" s="17" t="inlineStr">
        <is>
          <t>دايماً يظهر</t>
        </is>
      </c>
    </row>
    <row r="14">
      <c r="A14" s="17" t="inlineStr">
        <is>
          <t>CTA في التصميم</t>
        </is>
      </c>
      <c r="B14" s="17" t="inlineStr">
        <is>
          <t>زر واضح: 'احجز دلوقتي' أو 'كلمنا'</t>
        </is>
      </c>
      <c r="C14" s="17" t="inlineStr">
        <is>
          <t>لون مميز</t>
        </is>
      </c>
    </row>
    <row r="15">
      <c r="A15" s="9" t="inlineStr"/>
      <c r="B15" s="17" t="inlineStr"/>
      <c r="C15" s="17" t="inlineStr"/>
    </row>
    <row r="16">
      <c r="A16" s="9" t="inlineStr">
        <is>
          <t>فيديو الدرون (60 ثانية)</t>
        </is>
      </c>
      <c r="B16" s="17" t="inlineStr"/>
      <c r="C16" s="17" t="inlineStr"/>
    </row>
    <row r="17">
      <c r="A17" s="17" t="inlineStr">
        <is>
          <t>0-5 ثواني</t>
        </is>
      </c>
      <c r="B17" s="17" t="inlineStr">
        <is>
          <t>لقطة بعيدة للحي الرابع + النيل</t>
        </is>
      </c>
      <c r="C17" s="17" t="inlineStr">
        <is>
          <t>Establishing shot</t>
        </is>
      </c>
    </row>
    <row r="18">
      <c r="A18" s="17" t="inlineStr">
        <is>
          <t>5-10 ثواني</t>
        </is>
      </c>
      <c r="B18" s="17" t="inlineStr">
        <is>
          <t>Zoom بطيء على المشروع</t>
        </is>
      </c>
      <c r="C18" s="17" t="inlineStr">
        <is>
          <t>Dramatic reveal</t>
        </is>
      </c>
    </row>
    <row r="19">
      <c r="A19" s="17" t="inlineStr">
        <is>
          <t>10-20 ثواني</t>
        </is>
      </c>
      <c r="B19" s="17" t="inlineStr">
        <is>
          <t>دوران حول المشروع 360°</t>
        </is>
      </c>
      <c r="C19" s="17" t="inlineStr">
        <is>
          <t>إظهار الواجهة</t>
        </is>
      </c>
    </row>
    <row r="20">
      <c r="A20" s="17" t="inlineStr">
        <is>
          <t>20-30 ثواني</t>
        </is>
      </c>
      <c r="B20" s="17" t="inlineStr">
        <is>
          <t>عرض الموقع + طريق الأربع حارات + المدرسة</t>
        </is>
      </c>
      <c r="C20" s="17" t="inlineStr">
        <is>
          <t>السياق</t>
        </is>
      </c>
    </row>
    <row r="21">
      <c r="A21" s="17" t="inlineStr">
        <is>
          <t>30-40 ثواني</t>
        </is>
      </c>
      <c r="B21" s="17" t="inlineStr">
        <is>
          <t>دخول من فوق للداخل (لو ممكن)</t>
        </is>
      </c>
      <c r="C21" s="17" t="inlineStr">
        <is>
          <t>التفاصيل</t>
        </is>
      </c>
    </row>
    <row r="22">
      <c r="A22" s="17" t="inlineStr">
        <is>
          <t>40-50 ثواني</t>
        </is>
      </c>
      <c r="B22" s="17" t="inlineStr">
        <is>
          <t>ارتفاع تدريجي — المدينة كلها</t>
        </is>
      </c>
      <c r="C22" s="17" t="inlineStr">
        <is>
          <t>Wide shot</t>
        </is>
      </c>
    </row>
    <row r="23">
      <c r="A23" s="17" t="inlineStr">
        <is>
          <t>50-60 ثواني</t>
        </is>
      </c>
      <c r="B23" s="17" t="inlineStr">
        <is>
          <t>Logo + Call to Action</t>
        </is>
      </c>
      <c r="C23" s="17" t="inlineStr">
        <is>
          <t>الخاتمة</t>
        </is>
      </c>
    </row>
    <row r="24">
      <c r="A24" s="9" t="inlineStr"/>
      <c r="B24" s="17" t="inlineStr"/>
      <c r="C24" s="17" t="inlineStr"/>
    </row>
    <row r="25">
      <c r="A25" s="9" t="inlineStr">
        <is>
          <t>النص الصوتي (Voice-over)</t>
        </is>
      </c>
      <c r="B25" s="17" t="inlineStr"/>
      <c r="C25" s="17" t="inlineStr"/>
    </row>
    <row r="26">
      <c r="A26" s="17" t="inlineStr">
        <is>
          <t>اللغة</t>
        </is>
      </c>
      <c r="B26" s="17" t="inlineStr">
        <is>
          <t>عربي مصري احترافي</t>
        </is>
      </c>
      <c r="C26" s="17" t="inlineStr"/>
    </row>
    <row r="27">
      <c r="A27" s="17" t="inlineStr">
        <is>
          <t>النص</t>
        </is>
      </c>
      <c r="B27" s="17" t="inlineStr">
        <is>
          <t>بني سويف — المدينة اللي بتكبر كل يوم 🏙️ شرق النيل — قلب الحي الرابع. على بُعد دقائق من طريق الأربع حارات ومدرسة سان جورج. Sky Villas M7 — مشروع بتصميم كلاسيكي أوروبي. من سكاي لاينز للتطوير العقاري. 🎁 الشقة عليك والخدمات علينا — وفّر لحد 200 ألف جنيه. احجز دلوقتي — فرص محدودة</t>
        </is>
      </c>
      <c r="C27" s="17" t="inlineStr"/>
    </row>
    <row r="28">
      <c r="A28" s="17" t="inlineStr">
        <is>
          <t>الموسيقى</t>
        </is>
      </c>
      <c r="B28" s="17" t="inlineStr">
        <is>
          <t>cinematic/orchestral — حماسية</t>
        </is>
      </c>
      <c r="C28" s="17" t="inlineStr">
        <is>
          <t>تجنب المشهورة (copyright)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
  <sheetViews>
    <sheetView rightToLeft="1" workbookViewId="0">
      <selection activeCell="A1" sqref="A1"/>
    </sheetView>
  </sheetViews>
  <sheetFormatPr baseColWidth="8" defaultRowHeight="15"/>
  <cols>
    <col width="15" customWidth="1" min="1" max="1"/>
    <col width="12" customWidth="1" min="2" max="2"/>
    <col width="15" customWidth="1" min="3" max="3"/>
    <col width="12" customWidth="1" min="4" max="4"/>
    <col width="10" customWidth="1" min="5" max="5"/>
    <col width="12" customWidth="1" min="6" max="6"/>
    <col width="10" customWidth="1" min="7" max="7"/>
    <col width="14" customWidth="1" min="8" max="8"/>
    <col width="25" customWidth="1" min="9" max="9"/>
  </cols>
  <sheetData>
    <row r="1" ht="30" customHeight="1">
      <c r="A1" s="5" t="inlineStr">
        <is>
          <t>تتبع يومي للأداء</t>
        </is>
      </c>
    </row>
    <row r="3">
      <c r="A3" s="2" t="inlineStr">
        <is>
          <t>التاريخ</t>
        </is>
      </c>
      <c r="B3" s="2" t="inlineStr">
        <is>
          <t>إنفاق (ج)</t>
        </is>
      </c>
      <c r="C3" s="2" t="inlineStr">
        <is>
          <t>Impressions</t>
        </is>
      </c>
      <c r="D3" s="2" t="inlineStr">
        <is>
          <t>Reach</t>
        </is>
      </c>
      <c r="E3" s="2" t="inlineStr">
        <is>
          <t>Clicks</t>
        </is>
      </c>
      <c r="F3" s="2" t="inlineStr">
        <is>
          <t>Messages</t>
        </is>
      </c>
      <c r="G3" s="2" t="inlineStr">
        <is>
          <t>Leads</t>
        </is>
      </c>
      <c r="H3" s="2" t="inlineStr">
        <is>
          <t>Cost/Lead (ج)</t>
        </is>
      </c>
      <c r="I3" s="2" t="inlineStr">
        <is>
          <t>ملاحظات</t>
        </is>
      </c>
    </row>
    <row r="4">
      <c r="A4" s="12" t="inlineStr">
        <is>
          <t>2026-04-22</t>
        </is>
      </c>
      <c r="B4" s="22" t="n"/>
      <c r="C4" s="22" t="n"/>
      <c r="D4" s="22" t="n"/>
      <c r="E4" s="22" t="n"/>
      <c r="F4" s="22" t="n"/>
      <c r="G4" s="22" t="n"/>
      <c r="H4" s="23">
        <f>IFERROR(B4/G4,0)</f>
        <v/>
      </c>
      <c r="I4" s="24" t="n"/>
    </row>
    <row r="5">
      <c r="A5" s="12" t="inlineStr">
        <is>
          <t>2026-04-23</t>
        </is>
      </c>
      <c r="B5" s="22" t="n"/>
      <c r="C5" s="22" t="n"/>
      <c r="D5" s="22" t="n"/>
      <c r="E5" s="22" t="n"/>
      <c r="F5" s="22" t="n"/>
      <c r="G5" s="22" t="n"/>
      <c r="H5" s="23">
        <f>IFERROR(B5/G5,0)</f>
        <v/>
      </c>
      <c r="I5" s="24" t="n"/>
    </row>
    <row r="6">
      <c r="A6" s="12" t="inlineStr">
        <is>
          <t>2026-04-24</t>
        </is>
      </c>
      <c r="B6" s="22" t="n"/>
      <c r="C6" s="22" t="n"/>
      <c r="D6" s="22" t="n"/>
      <c r="E6" s="22" t="n"/>
      <c r="F6" s="22" t="n"/>
      <c r="G6" s="22" t="n"/>
      <c r="H6" s="23">
        <f>IFERROR(B6/G6,0)</f>
        <v/>
      </c>
      <c r="I6" s="24" t="n"/>
    </row>
    <row r="7">
      <c r="A7" s="12" t="inlineStr">
        <is>
          <t>2026-04-25</t>
        </is>
      </c>
      <c r="B7" s="22" t="n"/>
      <c r="C7" s="22" t="n"/>
      <c r="D7" s="22" t="n"/>
      <c r="E7" s="22" t="n"/>
      <c r="F7" s="22" t="n"/>
      <c r="G7" s="22" t="n"/>
      <c r="H7" s="23">
        <f>IFERROR(B7/G7,0)</f>
        <v/>
      </c>
      <c r="I7" s="24" t="n"/>
    </row>
    <row r="8">
      <c r="A8" s="12" t="inlineStr">
        <is>
          <t>2026-04-26</t>
        </is>
      </c>
      <c r="B8" s="22" t="n"/>
      <c r="C8" s="22" t="n"/>
      <c r="D8" s="22" t="n"/>
      <c r="E8" s="22" t="n"/>
      <c r="F8" s="22" t="n"/>
      <c r="G8" s="22" t="n"/>
      <c r="H8" s="23">
        <f>IFERROR(B8/G8,0)</f>
        <v/>
      </c>
      <c r="I8" s="24" t="n"/>
    </row>
    <row r="9">
      <c r="A9" s="12" t="inlineStr">
        <is>
          <t>2026-04-27</t>
        </is>
      </c>
      <c r="B9" s="22" t="n"/>
      <c r="C9" s="22" t="n"/>
      <c r="D9" s="22" t="n"/>
      <c r="E9" s="22" t="n"/>
      <c r="F9" s="22" t="n"/>
      <c r="G9" s="22" t="n"/>
      <c r="H9" s="23">
        <f>IFERROR(B9/G9,0)</f>
        <v/>
      </c>
      <c r="I9" s="24" t="n"/>
    </row>
    <row r="10">
      <c r="A10" s="12" t="inlineStr">
        <is>
          <t>2026-04-28</t>
        </is>
      </c>
      <c r="B10" s="22" t="n"/>
      <c r="C10" s="22" t="n"/>
      <c r="D10" s="22" t="n"/>
      <c r="E10" s="22" t="n"/>
      <c r="F10" s="22" t="n"/>
      <c r="G10" s="22" t="n"/>
      <c r="H10" s="23">
        <f>IFERROR(B10/G10,0)</f>
        <v/>
      </c>
      <c r="I10" s="24" t="n"/>
    </row>
    <row r="11">
      <c r="A11" s="12" t="inlineStr">
        <is>
          <t>2026-04-29</t>
        </is>
      </c>
      <c r="B11" s="22" t="n"/>
      <c r="C11" s="22" t="n"/>
      <c r="D11" s="22" t="n"/>
      <c r="E11" s="22" t="n"/>
      <c r="F11" s="22" t="n"/>
      <c r="G11" s="22" t="n"/>
      <c r="H11" s="23">
        <f>IFERROR(B11/G11,0)</f>
        <v/>
      </c>
      <c r="I11" s="24" t="n"/>
    </row>
    <row r="12">
      <c r="A12" s="12" t="inlineStr">
        <is>
          <t>2026-04-30</t>
        </is>
      </c>
      <c r="B12" s="22" t="n"/>
      <c r="C12" s="22" t="n"/>
      <c r="D12" s="22" t="n"/>
      <c r="E12" s="22" t="n"/>
      <c r="F12" s="22" t="n"/>
      <c r="G12" s="22" t="n"/>
      <c r="H12" s="23">
        <f>IFERROR(B12/G12,0)</f>
        <v/>
      </c>
      <c r="I12" s="24" t="n"/>
    </row>
    <row r="13">
      <c r="A13" s="12" t="inlineStr">
        <is>
          <t>2026-05-01</t>
        </is>
      </c>
      <c r="B13" s="22" t="n"/>
      <c r="C13" s="22" t="n"/>
      <c r="D13" s="22" t="n"/>
      <c r="E13" s="22" t="n"/>
      <c r="F13" s="22" t="n"/>
      <c r="G13" s="22" t="n"/>
      <c r="H13" s="23">
        <f>IFERROR(B13/G13,0)</f>
        <v/>
      </c>
      <c r="I13" s="24" t="n"/>
    </row>
    <row r="14">
      <c r="A14" s="12" t="inlineStr">
        <is>
          <t>2026-05-02</t>
        </is>
      </c>
      <c r="B14" s="22" t="n"/>
      <c r="C14" s="22" t="n"/>
      <c r="D14" s="22" t="n"/>
      <c r="E14" s="22" t="n"/>
      <c r="F14" s="22" t="n"/>
      <c r="G14" s="22" t="n"/>
      <c r="H14" s="23">
        <f>IFERROR(B14/G14,0)</f>
        <v/>
      </c>
      <c r="I14" s="24" t="n"/>
    </row>
    <row r="15">
      <c r="A15" s="12" t="inlineStr">
        <is>
          <t>2026-05-03</t>
        </is>
      </c>
      <c r="B15" s="22" t="n"/>
      <c r="C15" s="22" t="n"/>
      <c r="D15" s="22" t="n"/>
      <c r="E15" s="22" t="n"/>
      <c r="F15" s="22" t="n"/>
      <c r="G15" s="22" t="n"/>
      <c r="H15" s="23">
        <f>IFERROR(B15/G15,0)</f>
        <v/>
      </c>
      <c r="I15" s="24" t="n"/>
    </row>
    <row r="16">
      <c r="A16" s="12" t="inlineStr">
        <is>
          <t>2026-05-04</t>
        </is>
      </c>
      <c r="B16" s="22" t="n"/>
      <c r="C16" s="22" t="n"/>
      <c r="D16" s="22" t="n"/>
      <c r="E16" s="22" t="n"/>
      <c r="F16" s="22" t="n"/>
      <c r="G16" s="22" t="n"/>
      <c r="H16" s="23">
        <f>IFERROR(B16/G16,0)</f>
        <v/>
      </c>
      <c r="I16" s="24" t="n"/>
    </row>
    <row r="17">
      <c r="A17" s="12" t="inlineStr">
        <is>
          <t>2026-05-05</t>
        </is>
      </c>
      <c r="B17" s="22" t="n"/>
      <c r="C17" s="22" t="n"/>
      <c r="D17" s="22" t="n"/>
      <c r="E17" s="22" t="n"/>
      <c r="F17" s="22" t="n"/>
      <c r="G17" s="22" t="n"/>
      <c r="H17" s="23">
        <f>IFERROR(B17/G17,0)</f>
        <v/>
      </c>
      <c r="I17" s="24" t="n"/>
    </row>
    <row r="18">
      <c r="A18" s="12" t="inlineStr">
        <is>
          <t>2026-05-06</t>
        </is>
      </c>
      <c r="B18" s="22" t="n"/>
      <c r="C18" s="22" t="n"/>
      <c r="D18" s="22" t="n"/>
      <c r="E18" s="22" t="n"/>
      <c r="F18" s="22" t="n"/>
      <c r="G18" s="22" t="n"/>
      <c r="H18" s="23">
        <f>IFERROR(B18/G18,0)</f>
        <v/>
      </c>
      <c r="I18" s="24" t="n"/>
    </row>
    <row r="19">
      <c r="A19" s="12" t="inlineStr">
        <is>
          <t>2026-05-07</t>
        </is>
      </c>
      <c r="B19" s="22" t="n"/>
      <c r="C19" s="22" t="n"/>
      <c r="D19" s="22" t="n"/>
      <c r="E19" s="22" t="n"/>
      <c r="F19" s="22" t="n"/>
      <c r="G19" s="22" t="n"/>
      <c r="H19" s="23">
        <f>IFERROR(B19/G19,0)</f>
        <v/>
      </c>
      <c r="I19" s="24" t="n"/>
    </row>
    <row r="20">
      <c r="A20" s="12" t="inlineStr">
        <is>
          <t>2026-05-08</t>
        </is>
      </c>
      <c r="B20" s="22" t="n"/>
      <c r="C20" s="22" t="n"/>
      <c r="D20" s="22" t="n"/>
      <c r="E20" s="22" t="n"/>
      <c r="F20" s="22" t="n"/>
      <c r="G20" s="22" t="n"/>
      <c r="H20" s="23">
        <f>IFERROR(B20/G20,0)</f>
        <v/>
      </c>
      <c r="I20" s="24" t="n"/>
    </row>
    <row r="21">
      <c r="A21" s="12" t="inlineStr">
        <is>
          <t>2026-05-09</t>
        </is>
      </c>
      <c r="B21" s="22" t="n"/>
      <c r="C21" s="22" t="n"/>
      <c r="D21" s="22" t="n"/>
      <c r="E21" s="22" t="n"/>
      <c r="F21" s="22" t="n"/>
      <c r="G21" s="22" t="n"/>
      <c r="H21" s="23">
        <f>IFERROR(B21/G21,0)</f>
        <v/>
      </c>
      <c r="I21" s="24" t="n"/>
    </row>
    <row r="22">
      <c r="A22" s="12" t="inlineStr">
        <is>
          <t>2026-05-10</t>
        </is>
      </c>
      <c r="B22" s="22" t="n"/>
      <c r="C22" s="22" t="n"/>
      <c r="D22" s="22" t="n"/>
      <c r="E22" s="22" t="n"/>
      <c r="F22" s="22" t="n"/>
      <c r="G22" s="22" t="n"/>
      <c r="H22" s="23">
        <f>IFERROR(B22/G22,0)</f>
        <v/>
      </c>
      <c r="I22" s="24" t="n"/>
    </row>
    <row r="23">
      <c r="A23" s="12" t="inlineStr">
        <is>
          <t>2026-05-11</t>
        </is>
      </c>
      <c r="B23" s="22" t="n"/>
      <c r="C23" s="22" t="n"/>
      <c r="D23" s="22" t="n"/>
      <c r="E23" s="22" t="n"/>
      <c r="F23" s="22" t="n"/>
      <c r="G23" s="22" t="n"/>
      <c r="H23" s="23">
        <f>IFERROR(B23/G23,0)</f>
        <v/>
      </c>
      <c r="I23" s="24" t="n"/>
    </row>
    <row r="24">
      <c r="A24" s="12" t="inlineStr">
        <is>
          <t>2026-05-12</t>
        </is>
      </c>
      <c r="B24" s="22" t="n"/>
      <c r="C24" s="22" t="n"/>
      <c r="D24" s="22" t="n"/>
      <c r="E24" s="22" t="n"/>
      <c r="F24" s="22" t="n"/>
      <c r="G24" s="22" t="n"/>
      <c r="H24" s="23">
        <f>IFERROR(B24/G24,0)</f>
        <v/>
      </c>
      <c r="I24" s="24" t="n"/>
    </row>
    <row r="25">
      <c r="A25" s="12" t="inlineStr">
        <is>
          <t>2026-05-13</t>
        </is>
      </c>
      <c r="B25" s="22" t="n"/>
      <c r="C25" s="22" t="n"/>
      <c r="D25" s="22" t="n"/>
      <c r="E25" s="22" t="n"/>
      <c r="F25" s="22" t="n"/>
      <c r="G25" s="22" t="n"/>
      <c r="H25" s="23">
        <f>IFERROR(B25/G25,0)</f>
        <v/>
      </c>
      <c r="I25" s="24" t="n"/>
    </row>
    <row r="26">
      <c r="A26" s="12" t="inlineStr">
        <is>
          <t>2026-05-14</t>
        </is>
      </c>
      <c r="B26" s="22" t="n"/>
      <c r="C26" s="22" t="n"/>
      <c r="D26" s="22" t="n"/>
      <c r="E26" s="22" t="n"/>
      <c r="F26" s="22" t="n"/>
      <c r="G26" s="22" t="n"/>
      <c r="H26" s="23">
        <f>IFERROR(B26/G26,0)</f>
        <v/>
      </c>
      <c r="I26" s="24" t="n"/>
    </row>
    <row r="27">
      <c r="A27" s="12" t="inlineStr">
        <is>
          <t>2026-05-15</t>
        </is>
      </c>
      <c r="B27" s="22" t="n"/>
      <c r="C27" s="22" t="n"/>
      <c r="D27" s="22" t="n"/>
      <c r="E27" s="22" t="n"/>
      <c r="F27" s="22" t="n"/>
      <c r="G27" s="22" t="n"/>
      <c r="H27" s="23">
        <f>IFERROR(B27/G27,0)</f>
        <v/>
      </c>
      <c r="I27" s="24" t="n"/>
    </row>
    <row r="28">
      <c r="A28" s="12" t="inlineStr">
        <is>
          <t>2026-05-16</t>
        </is>
      </c>
      <c r="B28" s="22" t="n"/>
      <c r="C28" s="22" t="n"/>
      <c r="D28" s="22" t="n"/>
      <c r="E28" s="22" t="n"/>
      <c r="F28" s="22" t="n"/>
      <c r="G28" s="22" t="n"/>
      <c r="H28" s="23">
        <f>IFERROR(B28/G28,0)</f>
        <v/>
      </c>
      <c r="I28" s="24" t="n"/>
    </row>
    <row r="29">
      <c r="A29" s="12" t="inlineStr">
        <is>
          <t>2026-05-17</t>
        </is>
      </c>
      <c r="B29" s="22" t="n"/>
      <c r="C29" s="22" t="n"/>
      <c r="D29" s="22" t="n"/>
      <c r="E29" s="22" t="n"/>
      <c r="F29" s="22" t="n"/>
      <c r="G29" s="22" t="n"/>
      <c r="H29" s="23">
        <f>IFERROR(B29/G29,0)</f>
        <v/>
      </c>
      <c r="I29" s="24" t="n"/>
    </row>
    <row r="30">
      <c r="A30" s="12" t="inlineStr">
        <is>
          <t>2026-05-18</t>
        </is>
      </c>
      <c r="B30" s="22" t="n"/>
      <c r="C30" s="22" t="n"/>
      <c r="D30" s="22" t="n"/>
      <c r="E30" s="22" t="n"/>
      <c r="F30" s="22" t="n"/>
      <c r="G30" s="22" t="n"/>
      <c r="H30" s="23">
        <f>IFERROR(B30/G30,0)</f>
        <v/>
      </c>
      <c r="I30" s="24" t="n"/>
    </row>
    <row r="31">
      <c r="A31" s="12" t="inlineStr">
        <is>
          <t>2026-05-19</t>
        </is>
      </c>
      <c r="B31" s="22" t="n"/>
      <c r="C31" s="22" t="n"/>
      <c r="D31" s="22" t="n"/>
      <c r="E31" s="22" t="n"/>
      <c r="F31" s="22" t="n"/>
      <c r="G31" s="22" t="n"/>
      <c r="H31" s="23">
        <f>IFERROR(B31/G31,0)</f>
        <v/>
      </c>
      <c r="I31" s="24" t="n"/>
    </row>
    <row r="32">
      <c r="A32" s="12" t="inlineStr">
        <is>
          <t>2026-05-20</t>
        </is>
      </c>
      <c r="B32" s="22" t="n"/>
      <c r="C32" s="22" t="n"/>
      <c r="D32" s="22" t="n"/>
      <c r="E32" s="22" t="n"/>
      <c r="F32" s="22" t="n"/>
      <c r="G32" s="22" t="n"/>
      <c r="H32" s="23">
        <f>IFERROR(B32/G32,0)</f>
        <v/>
      </c>
      <c r="I32" s="24" t="n"/>
    </row>
    <row r="33">
      <c r="A33" s="12" t="inlineStr">
        <is>
          <t>2026-05-21</t>
        </is>
      </c>
      <c r="B33" s="22" t="n"/>
      <c r="C33" s="22" t="n"/>
      <c r="D33" s="22" t="n"/>
      <c r="E33" s="22" t="n"/>
      <c r="F33" s="22" t="n"/>
      <c r="G33" s="22" t="n"/>
      <c r="H33" s="23">
        <f>IFERROR(B33/G33,0)</f>
        <v/>
      </c>
      <c r="I33" s="24" t="n"/>
    </row>
    <row r="34">
      <c r="A34" s="25" t="inlineStr">
        <is>
          <t>الإجمالي</t>
        </is>
      </c>
      <c r="B34" s="26">
        <f>SUM(B4:B33)</f>
        <v/>
      </c>
      <c r="C34" s="26">
        <f>SUM(C4:C33)</f>
        <v/>
      </c>
      <c r="D34" s="26">
        <f>SUM(D4:D33)</f>
        <v/>
      </c>
      <c r="E34" s="26">
        <f>SUM(E4:E33)</f>
        <v/>
      </c>
      <c r="F34" s="26">
        <f>SUM(F4:F33)</f>
        <v/>
      </c>
      <c r="G34" s="26">
        <f>SUM(G4:G33)</f>
        <v/>
      </c>
      <c r="H34" s="27">
        <f>IFERROR(B34/G34,0)</f>
        <v/>
      </c>
      <c r="I34" s="28" t="n"/>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7"/>
  <sheetViews>
    <sheetView rightToLeft="1" workbookViewId="0">
      <selection activeCell="A1" sqref="A1"/>
    </sheetView>
  </sheetViews>
  <sheetFormatPr baseColWidth="8" defaultRowHeight="15"/>
  <cols>
    <col width="10" customWidth="1" min="1" max="1"/>
    <col width="35" customWidth="1" min="2" max="2"/>
    <col width="35" customWidth="1" min="3" max="3"/>
    <col width="25" customWidth="1" min="4" max="4"/>
  </cols>
  <sheetData>
    <row r="1" ht="35" customHeight="1">
      <c r="A1" s="5" t="inlineStr">
        <is>
          <t>🔥 استراتيجية زيادة التفاعل (Engagement Boost)</t>
        </is>
      </c>
    </row>
    <row r="3">
      <c r="A3" s="32" t="inlineStr">
        <is>
          <t>📊 الحالة الحالية للبيدج</t>
        </is>
      </c>
    </row>
    <row r="4">
      <c r="A4" s="2" t="inlineStr">
        <is>
          <t>المؤشر</t>
        </is>
      </c>
      <c r="B4" s="2" t="inlineStr">
        <is>
          <t>القيمة</t>
        </is>
      </c>
      <c r="C4" s="2" t="inlineStr">
        <is>
          <t>المقارنة</t>
        </is>
      </c>
      <c r="D4" s="2" t="inlineStr">
        <is>
          <t>ملاحظة</t>
        </is>
      </c>
    </row>
    <row r="5">
      <c r="A5" s="3" t="inlineStr">
        <is>
          <t>المتابعين</t>
        </is>
      </c>
      <c r="B5" s="4" t="n">
        <v>17521</v>
      </c>
      <c r="C5" s="4" t="inlineStr">
        <is>
          <t>كبير لبني سويف</t>
        </is>
      </c>
      <c r="D5" s="4" t="inlineStr">
        <is>
          <t>10x متوسط الشركات المنافسة</t>
        </is>
      </c>
    </row>
    <row r="6">
      <c r="A6" s="3" t="inlineStr">
        <is>
          <t>Talking About</t>
        </is>
      </c>
      <c r="B6" s="4" t="n">
        <v>207</v>
      </c>
      <c r="C6" s="4" t="inlineStr">
        <is>
          <t>ضعيف جداً</t>
        </is>
      </c>
      <c r="D6" s="4" t="inlineStr">
        <is>
          <t>1.2% بس من المتابعين نشطين</t>
        </is>
      </c>
    </row>
    <row r="7">
      <c r="A7" s="3" t="inlineStr">
        <is>
          <t>متوسط Engagement/بوست</t>
        </is>
      </c>
      <c r="B7" s="4" t="n">
        <v>56</v>
      </c>
      <c r="C7" s="4" t="inlineStr">
        <is>
          <t>ضعيف جداً</t>
        </is>
      </c>
      <c r="D7" s="4" t="inlineStr">
        <is>
          <t>العقارات 200-500</t>
        </is>
      </c>
    </row>
    <row r="8">
      <c r="A8" s="3" t="inlineStr">
        <is>
          <t>Engagement Rate</t>
        </is>
      </c>
      <c r="B8" s="4" t="inlineStr">
        <is>
          <t>0.32%</t>
        </is>
      </c>
      <c r="C8" s="4" t="inlineStr">
        <is>
          <t>ضعيف</t>
        </is>
      </c>
      <c r="D8" s="4" t="inlineStr">
        <is>
          <t>السوق 2-5%</t>
        </is>
      </c>
    </row>
    <row r="9">
      <c r="A9" s="3" t="inlineStr">
        <is>
          <t>إجمالي Likes (20 بوست)</t>
        </is>
      </c>
      <c r="B9" s="4" t="n">
        <v>194</v>
      </c>
      <c r="C9" s="4" t="inlineStr">
        <is>
          <t>ضعيف</t>
        </is>
      </c>
      <c r="D9" s="4" t="inlineStr">
        <is>
          <t>أقل من 10/بوست</t>
        </is>
      </c>
    </row>
    <row r="10">
      <c r="A10" s="3" t="inlineStr">
        <is>
          <t>إجمالي Comments (20 بوست)</t>
        </is>
      </c>
      <c r="B10" s="4" t="n">
        <v>201</v>
      </c>
      <c r="C10" s="4" t="inlineStr">
        <is>
          <t>متوسط</t>
        </is>
      </c>
      <c r="D10" s="4" t="inlineStr">
        <is>
          <t>10/بوست</t>
        </is>
      </c>
    </row>
    <row r="11">
      <c r="A11" s="3" t="inlineStr">
        <is>
          <t>إجمالي Shares (20 بوست)</t>
        </is>
      </c>
      <c r="B11" s="4" t="n">
        <v>727</v>
      </c>
      <c r="C11" s="4" t="inlineStr">
        <is>
          <t>ممتاز</t>
        </is>
      </c>
      <c r="D11" s="4" t="inlineStr">
        <is>
          <t>37/بوست — هنا قوتنا</t>
        </is>
      </c>
    </row>
    <row r="13">
      <c r="A13" s="32" t="inlineStr">
        <is>
          <t>🎯 10 تكتيكات لزيادة التفاعل</t>
        </is>
      </c>
    </row>
    <row r="14">
      <c r="A14" s="2" t="inlineStr">
        <is>
          <t>#</t>
        </is>
      </c>
      <c r="B14" s="2" t="inlineStr">
        <is>
          <t>التكتيك</t>
        </is>
      </c>
      <c r="C14" s="2" t="inlineStr">
        <is>
          <t>كيفية التنفيذ</t>
        </is>
      </c>
      <c r="D14" s="2" t="inlineStr">
        <is>
          <t>التأثير المتوقع</t>
        </is>
      </c>
    </row>
    <row r="15">
      <c r="A15" s="3" t="n">
        <v>1</v>
      </c>
      <c r="B15" s="33" t="inlineStr">
        <is>
          <t>Comment Bait Posts</t>
        </is>
      </c>
      <c r="C15" s="33" t="inlineStr">
        <is>
          <t>اسأل سؤال في كل بوست: 'أنت تفضل ناصية ولا داخلي؟' / 'كم متر مناسب لعيلتك؟'</t>
        </is>
      </c>
      <c r="D15" s="34" t="inlineStr">
        <is>
          <t>+50-100% comments</t>
        </is>
      </c>
    </row>
    <row r="16">
      <c r="A16" s="3" t="n">
        <v>2</v>
      </c>
      <c r="B16" s="33" t="inlineStr">
        <is>
          <t>Pinned Post محدث</t>
        </is>
      </c>
      <c r="C16" s="33" t="inlineStr">
        <is>
          <t>ثبّت بوست العرض الذهبي (228 engagement) في أعلى البيدج كـ Featured Post</t>
        </is>
      </c>
      <c r="D16" s="34" t="inlineStr">
        <is>
          <t>+30% reach</t>
        </is>
      </c>
    </row>
    <row r="17">
      <c r="A17" s="3" t="n">
        <v>3</v>
      </c>
      <c r="B17" s="33" t="inlineStr">
        <is>
          <t>Reply لكل كومنت بسرعة</t>
        </is>
      </c>
      <c r="C17" s="33" t="inlineStr">
        <is>
          <t>البوت بيرد على كل كومنت في 30 ثانية تلقائياً (شغال الآن ✅)</t>
        </is>
      </c>
      <c r="D17" s="34" t="inlineStr">
        <is>
          <t>+200% comment threads</t>
        </is>
      </c>
    </row>
    <row r="18">
      <c r="A18" s="3" t="n">
        <v>4</v>
      </c>
      <c r="B18" s="33" t="inlineStr">
        <is>
          <t>Stories يومياً</t>
        </is>
      </c>
      <c r="C18" s="33" t="inlineStr">
        <is>
          <t>3-5 stories كل يوم: مشاهد من الموقع، before/after، فيديوهات الدرون</t>
        </is>
      </c>
      <c r="D18" s="34" t="inlineStr">
        <is>
          <t>+500% reach بدون فلوس</t>
        </is>
      </c>
    </row>
    <row r="19">
      <c r="A19" s="3" t="n">
        <v>5</v>
      </c>
      <c r="B19" s="33" t="inlineStr">
        <is>
          <t>Reels أسبوعياً</t>
        </is>
      </c>
      <c r="C19" s="33" t="inlineStr">
        <is>
          <t>5 Reels/أسبوع — قصير 15-30 ثانية — درون + transitions حديثة</t>
        </is>
      </c>
      <c r="D19" s="34" t="inlineStr">
        <is>
          <t>Reels reach 10x من البوستات</t>
        </is>
      </c>
    </row>
    <row r="20">
      <c r="A20" s="3" t="n">
        <v>6</v>
      </c>
      <c r="B20" s="33" t="inlineStr">
        <is>
          <t>Cross-Tag مع شركاء</t>
        </is>
      </c>
      <c r="C20" s="33" t="inlineStr">
        <is>
          <t>تاج العملاء/الموردين/المهندسين في كل بوست — يخلوا متابعينهم يشوفوا</t>
        </is>
      </c>
      <c r="D20" s="34" t="inlineStr">
        <is>
          <t>+20-40% organic reach</t>
        </is>
      </c>
    </row>
    <row r="21">
      <c r="A21" s="3" t="n">
        <v>7</v>
      </c>
      <c r="B21" s="33" t="inlineStr">
        <is>
          <t>Engagement Posts خفيفة</t>
        </is>
      </c>
      <c r="C21" s="33" t="inlineStr">
        <is>
          <t>بوست 'اختار التصميم اللي يعجبك' — 4 صور مع تصويت — مشاركة بسيطة</t>
        </is>
      </c>
      <c r="D21" s="34" t="inlineStr">
        <is>
          <t>+150% engagement</t>
        </is>
      </c>
    </row>
    <row r="22">
      <c r="A22" s="3" t="n">
        <v>8</v>
      </c>
      <c r="B22" s="33" t="inlineStr">
        <is>
          <t>Comment Pin</t>
        </is>
      </c>
      <c r="C22" s="33" t="inlineStr">
        <is>
          <t>ثبّت أحسن كومنت (سؤال أو شهادة) — يخلي الناس ترد عليه</t>
        </is>
      </c>
      <c r="D22" s="34" t="inlineStr">
        <is>
          <t>+80% comment depth</t>
        </is>
      </c>
    </row>
    <row r="23">
      <c r="A23" s="3" t="n">
        <v>9</v>
      </c>
      <c r="B23" s="33" t="inlineStr">
        <is>
          <t>Save-worthy Content</t>
        </is>
      </c>
      <c r="C23" s="33" t="inlineStr">
        <is>
          <t>بوست 'دليل شراء عقار في بني سويف' — checklist يحفظوه</t>
        </is>
      </c>
      <c r="D23" s="34" t="inlineStr">
        <is>
          <t>+300% saves (signal للـ algo)</t>
        </is>
      </c>
    </row>
    <row r="24">
      <c r="A24" s="3" t="n">
        <v>10</v>
      </c>
      <c r="B24" s="33" t="inlineStr">
        <is>
          <t>Carousel Posts</t>
        </is>
      </c>
      <c r="C24" s="33" t="inlineStr">
        <is>
          <t>بوست 4-10 صور (الوحدة، الموقع، التشطيب، السعر) — يطول وقت المشاهدة</t>
        </is>
      </c>
      <c r="D24" s="34" t="inlineStr">
        <is>
          <t>+150% time spent</t>
        </is>
      </c>
    </row>
    <row r="27">
      <c r="A27" s="32" t="inlineStr">
        <is>
          <t>📅 جدول النشر الأسبوعي المقترح</t>
        </is>
      </c>
    </row>
    <row r="28">
      <c r="A28" s="2" t="inlineStr">
        <is>
          <t>اليوم</t>
        </is>
      </c>
      <c r="B28" s="2" t="inlineStr">
        <is>
          <t>النوع</t>
        </is>
      </c>
      <c r="C28" s="2" t="inlineStr">
        <is>
          <t>الوقت</t>
        </is>
      </c>
      <c r="D28" s="2" t="inlineStr">
        <is>
          <t>المحتوى المقترح</t>
        </is>
      </c>
    </row>
    <row r="29">
      <c r="A29" s="3" t="inlineStr">
        <is>
          <t>السبت</t>
        </is>
      </c>
      <c r="B29" s="4" t="inlineStr">
        <is>
          <t>Reel + Story</t>
        </is>
      </c>
      <c r="C29" s="4" t="inlineStr">
        <is>
          <t>8 م + 12 م</t>
        </is>
      </c>
      <c r="D29" s="4" t="inlineStr">
        <is>
          <t>فيديو درون قصير + Story صور الموقع</t>
        </is>
      </c>
    </row>
    <row r="30">
      <c r="A30" s="3" t="inlineStr">
        <is>
          <t>الأحد</t>
        </is>
      </c>
      <c r="B30" s="4" t="inlineStr">
        <is>
          <t>Carousel</t>
        </is>
      </c>
      <c r="C30" s="4" t="inlineStr">
        <is>
          <t>9 م</t>
        </is>
      </c>
      <c r="D30" s="4" t="inlineStr">
        <is>
          <t>4 صور — وحدات متاحة بأسعارها</t>
        </is>
      </c>
    </row>
    <row r="31">
      <c r="A31" s="3" t="inlineStr">
        <is>
          <t>الاثنين</t>
        </is>
      </c>
      <c r="B31" s="4" t="inlineStr">
        <is>
          <t>Engagement Post</t>
        </is>
      </c>
      <c r="C31" s="4" t="inlineStr">
        <is>
          <t>8 م</t>
        </is>
      </c>
      <c r="D31" s="4" t="inlineStr">
        <is>
          <t>سؤال: 'حضرتك بتفضل سكني ولا تجاري؟'</t>
        </is>
      </c>
    </row>
    <row r="32">
      <c r="A32" s="3" t="inlineStr">
        <is>
          <t>الثلاثاء</t>
        </is>
      </c>
      <c r="B32" s="4" t="inlineStr">
        <is>
          <t>Stories</t>
        </is>
      </c>
      <c r="C32" s="4" t="inlineStr">
        <is>
          <t>متعدد</t>
        </is>
      </c>
      <c r="D32" s="4" t="inlineStr">
        <is>
          <t>Behind the scenes — موقع البناء</t>
        </is>
      </c>
    </row>
    <row r="33">
      <c r="A33" s="3" t="inlineStr">
        <is>
          <t>الأربعاء</t>
        </is>
      </c>
      <c r="B33" s="4" t="inlineStr">
        <is>
          <t>Reel</t>
        </is>
      </c>
      <c r="C33" s="4" t="inlineStr">
        <is>
          <t>9 م</t>
        </is>
      </c>
      <c r="D33" s="4" t="inlineStr">
        <is>
          <t>Reel transitions — قبل/بعد التشطيب</t>
        </is>
      </c>
    </row>
    <row r="34">
      <c r="A34" s="3" t="inlineStr">
        <is>
          <t>الخميس</t>
        </is>
      </c>
      <c r="B34" s="4" t="inlineStr">
        <is>
          <t>Featured Post</t>
        </is>
      </c>
      <c r="C34" s="4" t="inlineStr">
        <is>
          <t>8 م</t>
        </is>
      </c>
      <c r="D34" s="4" t="inlineStr">
        <is>
          <t>العرض الحصري — الشقة عليك والخدمات علينا</t>
        </is>
      </c>
    </row>
    <row r="35">
      <c r="A35" s="3" t="inlineStr">
        <is>
          <t>الجمعة</t>
        </is>
      </c>
      <c r="B35" s="4" t="inlineStr">
        <is>
          <t>Live أو Stories</t>
        </is>
      </c>
      <c r="C35" s="4" t="inlineStr">
        <is>
          <t>8 م</t>
        </is>
      </c>
      <c r="D35" s="4" t="inlineStr">
        <is>
          <t>بث مباشر — جولة في الموقع</t>
        </is>
      </c>
    </row>
    <row r="38">
      <c r="A38" s="32" t="inlineStr">
        <is>
          <t>💬 كومنتات Comment Bait جاهزة (انسخها لكل بوست)</t>
        </is>
      </c>
    </row>
    <row r="39">
      <c r="A39" s="2" t="inlineStr">
        <is>
          <t>#</t>
        </is>
      </c>
      <c r="B39" s="2" t="inlineStr">
        <is>
          <t>الكومنت</t>
        </is>
      </c>
      <c r="C39" s="2" t="inlineStr">
        <is>
          <t>نوع البوست المناسب</t>
        </is>
      </c>
      <c r="D39" s="2" t="inlineStr">
        <is>
          <t>متوقع رد</t>
        </is>
      </c>
    </row>
    <row r="40">
      <c r="A40" s="3" t="n">
        <v>1</v>
      </c>
      <c r="B40" s="33" t="inlineStr">
        <is>
          <t>إنت تفضل وحدة ناصية ولا داخلية؟ 🤔</t>
        </is>
      </c>
      <c r="C40" s="33" t="inlineStr">
        <is>
          <t>أي بوست وحدات</t>
        </is>
      </c>
      <c r="D40" s="33" t="inlineStr">
        <is>
          <t>20-50 رد</t>
        </is>
      </c>
    </row>
    <row r="41">
      <c r="A41" s="3" t="n">
        <v>2</v>
      </c>
      <c r="B41" s="33" t="inlineStr">
        <is>
          <t>كم متر مناسب لعيلة من 5 أفراد؟</t>
        </is>
      </c>
      <c r="C41" s="33" t="inlineStr">
        <is>
          <t>بوست المساحات</t>
        </is>
      </c>
      <c r="D41" s="33" t="inlineStr">
        <is>
          <t>30-80 رد</t>
        </is>
      </c>
    </row>
    <row r="42">
      <c r="A42" s="3" t="n">
        <v>3</v>
      </c>
      <c r="B42" s="33" t="inlineStr">
        <is>
          <t>أنت بتدور على سكن ولا استثمار؟</t>
        </is>
      </c>
      <c r="C42" s="33" t="inlineStr">
        <is>
          <t>بوست تعريفي</t>
        </is>
      </c>
      <c r="D42" s="33" t="inlineStr">
        <is>
          <t>40-100 رد</t>
        </is>
      </c>
    </row>
    <row r="43">
      <c r="A43" s="3" t="n">
        <v>4</v>
      </c>
      <c r="B43" s="33" t="inlineStr">
        <is>
          <t>إيه أكتر حاجة بتركز عليها لما تشتري شقة؟</t>
        </is>
      </c>
      <c r="C43" s="33" t="inlineStr">
        <is>
          <t>بوست تصميم</t>
        </is>
      </c>
      <c r="D43" s="33" t="inlineStr">
        <is>
          <t>30-70 رد</t>
        </is>
      </c>
    </row>
    <row r="44">
      <c r="A44" s="3" t="n">
        <v>5</v>
      </c>
      <c r="B44" s="33" t="inlineStr">
        <is>
          <t>تحب الموقع قرب الخدمات ولا في هدوء؟</t>
        </is>
      </c>
      <c r="C44" s="33" t="inlineStr">
        <is>
          <t>بوست الموقع</t>
        </is>
      </c>
      <c r="D44" s="33" t="inlineStr">
        <is>
          <t>20-60 رد</t>
        </is>
      </c>
    </row>
    <row r="45">
      <c r="A45" s="3" t="n">
        <v>6</v>
      </c>
      <c r="B45" s="33" t="inlineStr">
        <is>
          <t>أنت من بني سويف ولا مسافر؟</t>
        </is>
      </c>
      <c r="C45" s="33" t="inlineStr">
        <is>
          <t>Engagement post</t>
        </is>
      </c>
      <c r="D45" s="34" t="inlineStr">
        <is>
          <t>50-150 رد ⭐</t>
        </is>
      </c>
    </row>
    <row r="46">
      <c r="A46" s="3" t="n">
        <v>7</v>
      </c>
      <c r="B46" s="33" t="inlineStr">
        <is>
          <t>احكيلنا فين بتشتغل دلوقتي؟ (للمسافرين)</t>
        </is>
      </c>
      <c r="C46" s="33" t="inlineStr">
        <is>
          <t>بوست المغتربين</t>
        </is>
      </c>
      <c r="D46" s="34" t="inlineStr">
        <is>
          <t>100+ رد ⭐⭐</t>
        </is>
      </c>
    </row>
    <row r="47">
      <c r="A47" s="3" t="n">
        <v>8</v>
      </c>
      <c r="B47" s="33" t="inlineStr">
        <is>
          <t>كم مقدم مناسب لميزانيتك؟ 25%؟ 50%؟</t>
        </is>
      </c>
      <c r="C47" s="33" t="inlineStr">
        <is>
          <t>بوست السعر</t>
        </is>
      </c>
      <c r="D47" s="33" t="inlineStr">
        <is>
          <t>40-100 رد</t>
        </is>
      </c>
    </row>
    <row r="48">
      <c r="A48" s="3" t="n">
        <v>9</v>
      </c>
      <c r="B48" s="33" t="inlineStr">
        <is>
          <t>تفضل تشطيب جاهز ولا على العضم؟</t>
        </is>
      </c>
      <c r="C48" s="33" t="inlineStr">
        <is>
          <t>بوست التشطيب</t>
        </is>
      </c>
      <c r="D48" s="33" t="inlineStr">
        <is>
          <t>50-120 رد</t>
        </is>
      </c>
    </row>
    <row r="49">
      <c r="A49" s="3" t="n">
        <v>10</v>
      </c>
      <c r="B49" s="33" t="inlineStr">
        <is>
          <t>أيهم أهم: السعر، الموقع، التصميم، التقسيط؟</t>
        </is>
      </c>
      <c r="C49" s="33" t="inlineStr">
        <is>
          <t>أي بوست</t>
        </is>
      </c>
      <c r="D49" s="34" t="inlineStr">
        <is>
          <t>100+ رد ⭐⭐</t>
        </is>
      </c>
    </row>
    <row r="52">
      <c r="A52" s="32" t="inlineStr">
        <is>
          <t>🚀 Boost Posts (تمويل التفاعل)</t>
        </is>
      </c>
    </row>
    <row r="53">
      <c r="A53" s="2" t="inlineStr">
        <is>
          <t>البوست</t>
        </is>
      </c>
      <c r="B53" s="2" t="inlineStr">
        <is>
          <t>الميزانية</t>
        </is>
      </c>
      <c r="C53" s="2" t="inlineStr">
        <is>
          <t>المدة</t>
        </is>
      </c>
      <c r="D53" s="2" t="inlineStr">
        <is>
          <t>الهدف</t>
        </is>
      </c>
    </row>
    <row r="54">
      <c r="A54" s="4" t="inlineStr">
        <is>
          <t>بوست العرض الرئيسي (228 engagement حالياً)</t>
        </is>
      </c>
      <c r="B54" s="4" t="inlineStr">
        <is>
          <t>200 ج/يوم</t>
        </is>
      </c>
      <c r="C54" s="4" t="inlineStr">
        <is>
          <t>7 أيام</t>
        </is>
      </c>
      <c r="D54" s="4" t="inlineStr">
        <is>
          <t>Engagement → 1000+</t>
        </is>
      </c>
    </row>
    <row r="55">
      <c r="A55" s="4" t="inlineStr">
        <is>
          <t>بوست الـ 161م² (147 engagement)</t>
        </is>
      </c>
      <c r="B55" s="4" t="inlineStr">
        <is>
          <t>100 ج/يوم</t>
        </is>
      </c>
      <c r="C55" s="4" t="inlineStr">
        <is>
          <t>7 أيام</t>
        </is>
      </c>
      <c r="D55" s="4" t="inlineStr">
        <is>
          <t>Engagement → 500+</t>
        </is>
      </c>
    </row>
    <row r="56">
      <c r="A56" s="4" t="inlineStr">
        <is>
          <t>بوست 'وفر 200 ألف' (96 engagement)</t>
        </is>
      </c>
      <c r="B56" s="4" t="inlineStr">
        <is>
          <t>100 ج/يوم</t>
        </is>
      </c>
      <c r="C56" s="4" t="inlineStr">
        <is>
          <t>5 أيام</t>
        </is>
      </c>
      <c r="D56" s="4" t="inlineStr">
        <is>
          <t>Engagement → 400+</t>
        </is>
      </c>
    </row>
    <row r="57">
      <c r="A57" s="3" t="inlineStr">
        <is>
          <t>إجمالي الـ Boost (مرة واحدة)</t>
        </is>
      </c>
      <c r="B57" s="3" t="inlineStr">
        <is>
          <t>2,900 ج</t>
        </is>
      </c>
      <c r="C57" s="3" t="inlineStr">
        <is>
          <t>7 أيام</t>
        </is>
      </c>
      <c r="D57" s="3" t="inlineStr">
        <is>
          <t>منفصل عن ميزانية الـ 500/يوم</t>
        </is>
      </c>
    </row>
  </sheetData>
  <mergeCells count="6">
    <mergeCell ref="A1:D1"/>
    <mergeCell ref="A27:D27"/>
    <mergeCell ref="A3:D3"/>
    <mergeCell ref="A38:D38"/>
    <mergeCell ref="A52:D52"/>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2026-04-17T00:35:39Z</dcterms:created>
  <dcterms:modified xmlns:dcterms="http://purl.org/dc/terms/" xmlns:xsi="http://www.w3.org/2001/XMLSchema-instance" xsi:type="dcterms:W3CDTF">2026-04-17T01:11:16Z</dcterms:modified>
</cp:coreProperties>
</file>