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dget" sheetId="2" state="visible" r:id="rId2"/>
    <sheet name="Team_Roles" sheetId="3" state="visible" r:id="rId3"/>
    <sheet name="Channels" sheetId="4" state="visible" r:id="rId4"/>
    <sheet name="Audience" sheetId="5" state="visible" r:id="rId5"/>
    <sheet name="Content_Calendar" sheetId="6" state="visible" r:id="rId6"/>
    <sheet name="KPIs" sheetId="7" state="visible" r:id="rId7"/>
    <sheet name="Monthly_Tracking" sheetId="8" state="visible" r:id="rId8"/>
    <sheet name="Lead_Funnel" sheetId="9" state="visible" r:id="rId9"/>
    <sheet name="Road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6366F1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3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6" customHeight="1">
      <c r="A1" s="1" t="inlineStr">
        <is>
          <t>خطة التسويق السنوية — Sky Lines Group (2026/2027)</t>
        </is>
      </c>
    </row>
    <row r="3">
      <c r="A3" s="2" t="inlineStr">
        <is>
          <t>العنصر</t>
        </is>
      </c>
      <c r="B3" s="2" t="inlineStr">
        <is>
          <t>القيمة</t>
        </is>
      </c>
    </row>
    <row r="4">
      <c r="A4" s="3" t="inlineStr">
        <is>
          <t>الشركة</t>
        </is>
      </c>
      <c r="B4" s="4" t="inlineStr">
        <is>
          <t>Sky Lines Group | SkyLines Developments</t>
        </is>
      </c>
    </row>
    <row r="5">
      <c r="A5" s="3" t="inlineStr">
        <is>
          <t>النشاط</t>
        </is>
      </c>
      <c r="B5" s="4" t="inlineStr">
        <is>
          <t>تطوير + استثمار + تسويق عقاري — بني سويف، شرق النيل</t>
        </is>
      </c>
    </row>
    <row r="6">
      <c r="A6" s="3" t="inlineStr">
        <is>
          <t>المشروع النشط</t>
        </is>
      </c>
      <c r="B6" s="4" t="inlineStr">
        <is>
          <t>Sky Villas M7 — 5 وحدات معروضة (سكني/إداري/تجاري)</t>
        </is>
      </c>
    </row>
    <row r="7">
      <c r="A7" s="3" t="inlineStr">
        <is>
          <t>الاستلام المتوقع</t>
        </is>
      </c>
      <c r="B7" s="4" t="inlineStr">
        <is>
          <t>1 يوليو 2027</t>
        </is>
      </c>
    </row>
    <row r="8">
      <c r="A8" s="3" t="inlineStr">
        <is>
          <t>الهدف الاستراتيجي</t>
        </is>
      </c>
      <c r="B8" s="4" t="inlineStr">
        <is>
          <t>بناء براند + توليد ليدات مؤهلة مستمر</t>
        </is>
      </c>
    </row>
    <row r="9">
      <c r="A9" s="3" t="inlineStr">
        <is>
          <t>المدى الزمني</t>
        </is>
      </c>
      <c r="B9" s="4" t="inlineStr">
        <is>
          <t>12 شهر (يونيو 2026 → مايو 2027)</t>
        </is>
      </c>
    </row>
    <row r="10">
      <c r="A10" s="3" t="inlineStr">
        <is>
          <t>الميزانية الشهرية</t>
        </is>
      </c>
      <c r="B10" s="4" t="inlineStr">
        <is>
          <t>15,000 – 30,000 ج (متوسط ~22,000)</t>
        </is>
      </c>
    </row>
    <row r="11">
      <c r="A11" s="3" t="inlineStr">
        <is>
          <t>الميزانية السنوية (مرجعي)</t>
        </is>
      </c>
      <c r="B11" s="4" t="inlineStr">
        <is>
          <t>≈ 264,000 ج</t>
        </is>
      </c>
    </row>
    <row r="12">
      <c r="A12" s="3" t="inlineStr">
        <is>
          <t>القنوات الرئيسية</t>
        </is>
      </c>
      <c r="B12" s="4" t="inlineStr">
        <is>
          <t>Meta Ads + Organic + TikTok + WhatsApp/Bot</t>
        </is>
      </c>
    </row>
    <row r="13">
      <c r="A13" s="3" t="inlineStr">
        <is>
          <t>العمود الفقري</t>
        </is>
      </c>
      <c r="B13" s="4" t="inlineStr">
        <is>
          <t>المساعد الذكي (ماسنجر + واتساب) — تأهيل لحظي 24/7</t>
        </is>
      </c>
    </row>
    <row r="14">
      <c r="A14" s="3" t="inlineStr">
        <is>
          <t>ليدات مستهدفة/سنة</t>
        </is>
      </c>
      <c r="B14" s="4" t="inlineStr">
        <is>
          <t>8,000 – 12,000 ليد</t>
        </is>
      </c>
    </row>
    <row r="15">
      <c r="A15" s="3" t="inlineStr">
        <is>
          <t>تكلفة الليد المؤهل</t>
        </is>
      </c>
      <c r="B15" s="4" t="inlineStr">
        <is>
          <t>≤ 35 ج (CPQL)</t>
        </is>
      </c>
    </row>
    <row r="16">
      <c r="A16" s="3" t="inlineStr">
        <is>
          <t>نمو المتابعين/سنة</t>
        </is>
      </c>
      <c r="B16" s="4" t="inlineStr">
        <is>
          <t>+15,000 (FB + IG + TikTok)</t>
        </is>
      </c>
    </row>
    <row r="17">
      <c r="A17" s="3" t="inlineStr">
        <is>
          <t>تقرير يومي</t>
        </is>
      </c>
      <c r="B17" s="4" t="inlineStr">
        <is>
          <t>تليجرام 9 م (إنفاق + ليدات + تكلفة الليد)</t>
        </is>
      </c>
    </row>
    <row r="18">
      <c r="A18" s="3" t="inlineStr">
        <is>
          <t>العروض المعتمدة</t>
        </is>
      </c>
      <c r="B18" s="4" t="inlineStr">
        <is>
          <t>مقدم 40%/15 شهر · 60%/12 شهر · كاش (بدون فوايد)</t>
        </is>
      </c>
    </row>
    <row r="20" ht="30" customHeight="1">
      <c r="A20" s="5" t="inlineStr">
        <is>
          <t>⛔ ممنوع ذكر عروض منتهية (مثل: الشقة عليك والخدمات علينا / خصم 200 ألف). يُذكر فقط العروض المعتمدة أعلاه.</t>
        </is>
      </c>
    </row>
  </sheetData>
  <mergeCells count="2">
    <mergeCell ref="A20:B2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16" customWidth="1" min="4" max="4"/>
    <col width="12" customWidth="1" min="5" max="5"/>
  </cols>
  <sheetData>
    <row r="1" ht="36" customHeight="1">
      <c r="A1" s="1" t="inlineStr">
        <is>
          <t>الميزانية — توزيع شهري وسنوي</t>
        </is>
      </c>
    </row>
    <row r="3">
      <c r="A3" s="2" t="inlineStr">
        <is>
          <t>#</t>
        </is>
      </c>
      <c r="B3" s="2" t="inlineStr">
        <is>
          <t>البند</t>
        </is>
      </c>
      <c r="C3" s="2" t="inlineStr">
        <is>
          <t>شهري (ج)</t>
        </is>
      </c>
      <c r="D3" s="2" t="inlineStr">
        <is>
          <t>سنوي (ج)</t>
        </is>
      </c>
      <c r="E3" s="2" t="inlineStr">
        <is>
          <t>النسبة %</t>
        </is>
      </c>
    </row>
    <row r="4">
      <c r="A4" s="6" t="n">
        <v>1</v>
      </c>
      <c r="B4" s="4" t="inlineStr">
        <is>
          <t>إعلانات Meta (FB + Instagram)</t>
        </is>
      </c>
      <c r="C4" s="7" t="n">
        <v>13000</v>
      </c>
      <c r="D4" s="8">
        <f>C4*12</f>
        <v/>
      </c>
      <c r="E4" s="9">
        <f>C4/C10</f>
        <v/>
      </c>
    </row>
    <row r="5">
      <c r="A5" s="6" t="n">
        <v>2</v>
      </c>
      <c r="B5" s="4" t="inlineStr">
        <is>
          <t>إنتاج محتوى (تصميم/كتابة/مونتاج)</t>
        </is>
      </c>
      <c r="C5" s="7" t="n">
        <v>3500</v>
      </c>
      <c r="D5" s="8">
        <f>C5*12</f>
        <v/>
      </c>
      <c r="E5" s="9">
        <f>C5/C10</f>
        <v/>
      </c>
    </row>
    <row r="6">
      <c r="A6" s="6" t="n">
        <v>3</v>
      </c>
      <c r="B6" s="4" t="inlineStr">
        <is>
          <t>تصوير درون/فوتو (موزّع)</t>
        </is>
      </c>
      <c r="C6" s="7" t="n">
        <v>2500</v>
      </c>
      <c r="D6" s="8">
        <f>C6*12</f>
        <v/>
      </c>
      <c r="E6" s="9">
        <f>C6/C10</f>
        <v/>
      </c>
    </row>
    <row r="7">
      <c r="A7" s="6" t="n">
        <v>4</v>
      </c>
      <c r="B7" s="4" t="inlineStr">
        <is>
          <t>TikTok / Boosting / Micro-influencer</t>
        </is>
      </c>
      <c r="C7" s="7" t="n">
        <v>1500</v>
      </c>
      <c r="D7" s="8">
        <f>C7*12</f>
        <v/>
      </c>
      <c r="E7" s="9">
        <f>C7/C10</f>
        <v/>
      </c>
    </row>
    <row r="8">
      <c r="A8" s="6" t="n">
        <v>5</v>
      </c>
      <c r="B8" s="4" t="inlineStr">
        <is>
          <t>أدوات وبرمجيات (استضافة/جدولة/CRM)</t>
        </is>
      </c>
      <c r="C8" s="7" t="n">
        <v>1000</v>
      </c>
      <c r="D8" s="8">
        <f>C8*12</f>
        <v/>
      </c>
      <c r="E8" s="9">
        <f>C8/C10</f>
        <v/>
      </c>
    </row>
    <row r="9">
      <c r="A9" s="6" t="n">
        <v>6</v>
      </c>
      <c r="B9" s="4" t="inlineStr">
        <is>
          <t>اختبار واحتياطي</t>
        </is>
      </c>
      <c r="C9" s="7" t="n">
        <v>500</v>
      </c>
      <c r="D9" s="8">
        <f>C9*12</f>
        <v/>
      </c>
      <c r="E9" s="9">
        <f>C9/C10</f>
        <v/>
      </c>
    </row>
    <row r="10">
      <c r="A10" s="3" t="inlineStr"/>
      <c r="B10" s="10" t="inlineStr">
        <is>
          <t>الإجمالي</t>
        </is>
      </c>
      <c r="C10" s="11">
        <f>SUM(C4:C9)</f>
        <v/>
      </c>
      <c r="D10" s="11">
        <f>SUM(D4:D9)</f>
        <v/>
      </c>
      <c r="E10" s="12">
        <f>C10/C10</f>
        <v/>
      </c>
    </row>
    <row r="13">
      <c r="A13" s="13" t="inlineStr">
        <is>
          <t>الخطة الشهرية (قابلة للتعديل حسب الموسم)</t>
        </is>
      </c>
    </row>
    <row r="14">
      <c r="A14" s="2" t="inlineStr">
        <is>
          <t>الشهر</t>
        </is>
      </c>
      <c r="B14" s="2" t="inlineStr">
        <is>
          <t>المرحلة</t>
        </is>
      </c>
      <c r="C14" s="2" t="inlineStr">
        <is>
          <t>ميزانية الشهر (ج)</t>
        </is>
      </c>
      <c r="D14" s="2" t="inlineStr">
        <is>
          <t>ملاحظة</t>
        </is>
      </c>
      <c r="E14" s="2" t="inlineStr"/>
    </row>
    <row r="15">
      <c r="A15" s="4" t="inlineStr">
        <is>
          <t>الشهر 1 (يونيو)</t>
        </is>
      </c>
      <c r="B15" s="6" t="inlineStr">
        <is>
          <t>تأسيس</t>
        </is>
      </c>
      <c r="C15" s="7" t="n">
        <v>18000</v>
      </c>
      <c r="D15" s="4" t="inlineStr">
        <is>
          <t>اختبار + إطلاق</t>
        </is>
      </c>
      <c r="E15" s="4" t="n"/>
    </row>
    <row r="16">
      <c r="A16" s="4" t="inlineStr">
        <is>
          <t>الشهر 2 (يوليو)</t>
        </is>
      </c>
      <c r="B16" s="6" t="inlineStr">
        <is>
          <t>تأسيس</t>
        </is>
      </c>
      <c r="C16" s="7" t="n">
        <v>20000</v>
      </c>
      <c r="D16" s="4" t="inlineStr">
        <is>
          <t>موسم المغتربين</t>
        </is>
      </c>
      <c r="E16" s="4" t="n"/>
    </row>
    <row r="17">
      <c r="A17" s="4" t="inlineStr">
        <is>
          <t>الشهر 3 (أغسطس)</t>
        </is>
      </c>
      <c r="B17" s="6" t="inlineStr">
        <is>
          <t>تأسيس</t>
        </is>
      </c>
      <c r="C17" s="7" t="n">
        <v>20000</v>
      </c>
      <c r="D17" s="4" t="inlineStr">
        <is>
          <t>تحسين</t>
        </is>
      </c>
      <c r="E17" s="4" t="n"/>
    </row>
    <row r="18">
      <c r="A18" s="4" t="inlineStr">
        <is>
          <t>الشهر 4 (سبتمبر)</t>
        </is>
      </c>
      <c r="B18" s="6" t="inlineStr">
        <is>
          <t>توسّع</t>
        </is>
      </c>
      <c r="C18" s="7" t="n">
        <v>24000</v>
      </c>
      <c r="D18" s="4" t="inlineStr">
        <is>
          <t>Retargeting + Lookalike</t>
        </is>
      </c>
      <c r="E18" s="4" t="n"/>
    </row>
    <row r="19">
      <c r="A19" s="4" t="inlineStr">
        <is>
          <t>الشهر 5 (أكتوبر)</t>
        </is>
      </c>
      <c r="B19" s="6" t="inlineStr">
        <is>
          <t>توسّع</t>
        </is>
      </c>
      <c r="C19" s="7" t="n">
        <v>24000</v>
      </c>
      <c r="D19" s="4" t="inlineStr">
        <is>
          <t>TikTok بجدّية</t>
        </is>
      </c>
      <c r="E19" s="4" t="n"/>
    </row>
    <row r="20">
      <c r="A20" s="4" t="inlineStr">
        <is>
          <t>الشهر 6 (نوفمبر)</t>
        </is>
      </c>
      <c r="B20" s="6" t="inlineStr">
        <is>
          <t>توسّع</t>
        </is>
      </c>
      <c r="C20" s="7" t="n">
        <v>26000</v>
      </c>
      <c r="D20" s="4" t="inlineStr">
        <is>
          <t>شهادات العملاء</t>
        </is>
      </c>
      <c r="E20" s="4" t="n"/>
    </row>
    <row r="21">
      <c r="A21" s="4" t="inlineStr">
        <is>
          <t>الشهر 7 (ديسمبر)</t>
        </is>
      </c>
      <c r="B21" s="6" t="inlineStr">
        <is>
          <t>سلطة براند</t>
        </is>
      </c>
      <c r="C21" s="7" t="n">
        <v>22000</v>
      </c>
      <c r="D21" s="4" t="inlineStr">
        <is>
          <t>محتوى احترافي</t>
        </is>
      </c>
      <c r="E21" s="4" t="n"/>
    </row>
    <row r="22">
      <c r="A22" s="4" t="inlineStr">
        <is>
          <t>الشهر 8 (يناير)</t>
        </is>
      </c>
      <c r="B22" s="6" t="inlineStr">
        <is>
          <t>سلطة براند</t>
        </is>
      </c>
      <c r="C22" s="7" t="n">
        <v>22000</v>
      </c>
      <c r="D22" s="4" t="inlineStr">
        <is>
          <t>Google/YouTube تجريبي</t>
        </is>
      </c>
      <c r="E22" s="4" t="n"/>
    </row>
    <row r="23">
      <c r="A23" s="4" t="inlineStr">
        <is>
          <t>الشهر 9 (فبراير)</t>
        </is>
      </c>
      <c r="B23" s="6" t="inlineStr">
        <is>
          <t>سلطة براند</t>
        </is>
      </c>
      <c r="C23" s="7" t="n">
        <v>24000</v>
      </c>
      <c r="D23" s="4" t="inlineStr">
        <is>
          <t>تشويق Sky East</t>
        </is>
      </c>
      <c r="E23" s="4" t="n"/>
    </row>
    <row r="24">
      <c r="A24" s="4" t="inlineStr">
        <is>
          <t>الشهر 10 (مارس)</t>
        </is>
      </c>
      <c r="B24" s="6" t="inlineStr">
        <is>
          <t>حصاد</t>
        </is>
      </c>
      <c r="C24" s="7" t="n">
        <v>26000</v>
      </c>
      <c r="D24" s="4" t="inlineStr">
        <is>
          <t>رمضان — محتوى عاطفي</t>
        </is>
      </c>
      <c r="E24" s="4" t="n"/>
    </row>
    <row r="25">
      <c r="A25" s="4" t="inlineStr">
        <is>
          <t>الشهر 11 (أبريل)</t>
        </is>
      </c>
      <c r="B25" s="6" t="inlineStr">
        <is>
          <t>حصاد</t>
        </is>
      </c>
      <c r="C25" s="7" t="n">
        <v>26000</v>
      </c>
      <c r="D25" s="4" t="inlineStr">
        <is>
          <t>العيد + إغلاق</t>
        </is>
      </c>
      <c r="E25" s="4" t="n"/>
    </row>
    <row r="26">
      <c r="A26" s="4" t="inlineStr">
        <is>
          <t>الشهر 12 (مايو)</t>
        </is>
      </c>
      <c r="B26" s="6" t="inlineStr">
        <is>
          <t>حصاد</t>
        </is>
      </c>
      <c r="C26" s="7" t="n">
        <v>22000</v>
      </c>
      <c r="D26" s="4" t="inlineStr">
        <is>
          <t>مراجعة سنوية</t>
        </is>
      </c>
      <c r="E26" s="4" t="n"/>
    </row>
    <row r="27">
      <c r="A27" s="3" t="inlineStr">
        <is>
          <t>إجمالي السنة</t>
        </is>
      </c>
      <c r="B27" s="3" t="inlineStr"/>
      <c r="C27" s="11">
        <f>SUM(C15:C26)</f>
        <v/>
      </c>
      <c r="D27" s="3" t="n"/>
      <c r="E27" s="3" t="n"/>
    </row>
  </sheetData>
  <mergeCells count="14">
    <mergeCell ref="D25:E25"/>
    <mergeCell ref="D20:E20"/>
    <mergeCell ref="D16:E16"/>
    <mergeCell ref="D24:E24"/>
    <mergeCell ref="D15:E15"/>
    <mergeCell ref="D19:E19"/>
    <mergeCell ref="D23:E23"/>
    <mergeCell ref="A1:E1"/>
    <mergeCell ref="D22:E22"/>
    <mergeCell ref="A13:E13"/>
    <mergeCell ref="D18:E18"/>
    <mergeCell ref="D26:E26"/>
    <mergeCell ref="D17:E17"/>
    <mergeCell ref="D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34" customWidth="1" min="3" max="3"/>
    <col width="20" customWidth="1" min="4" max="4"/>
  </cols>
  <sheetData>
    <row r="1" ht="36" customHeight="1">
      <c r="A1" s="1" t="inlineStr">
        <is>
          <t>أدوار الفريق والمسؤوليات</t>
        </is>
      </c>
    </row>
    <row r="3">
      <c r="A3" s="2" t="inlineStr">
        <is>
          <t>الدور</t>
        </is>
      </c>
      <c r="B3" s="2" t="inlineStr">
        <is>
          <t>المسؤوليات</t>
        </is>
      </c>
      <c r="C3" s="2" t="inlineStr">
        <is>
          <t>المخرجات الأسبوعية</t>
        </is>
      </c>
      <c r="D3" s="2" t="inlineStr">
        <is>
          <t>المسؤول (اسم)</t>
        </is>
      </c>
    </row>
    <row r="4">
      <c r="A4" s="3" t="inlineStr">
        <is>
          <t>مدير التسويق</t>
        </is>
      </c>
      <c r="B4" s="4" t="inlineStr">
        <is>
          <t>الاستراتيجية، الميزانية، التقارير، التنسيق مع الإدارة</t>
        </is>
      </c>
      <c r="C4" s="4" t="inlineStr">
        <is>
          <t>تقرير أسبوعي + قرارات ميزانية</t>
        </is>
      </c>
      <c r="D4" s="14" t="inlineStr"/>
    </row>
    <row r="5">
      <c r="A5" s="3" t="inlineStr">
        <is>
          <t>Media Buyer / أداء</t>
        </is>
      </c>
      <c r="B5" s="4" t="inlineStr">
        <is>
          <t>إعداد وتحسين حملات Meta، المتابعة اليومية</t>
        </is>
      </c>
      <c r="C5" s="4" t="inlineStr">
        <is>
          <t>تقرير إنفاق + ليدات يومي</t>
        </is>
      </c>
      <c r="D5" s="14" t="inlineStr"/>
    </row>
    <row r="6">
      <c r="A6" s="3" t="inlineStr">
        <is>
          <t>كاتب محتوى</t>
        </is>
      </c>
      <c r="B6" s="4" t="inlineStr">
        <is>
          <t>كابشن، نصوص إعلانات، سكربتات فيديو</t>
        </is>
      </c>
      <c r="C6" s="4" t="inlineStr">
        <is>
          <t>خطة محتوى الأسبوع + النصوص</t>
        </is>
      </c>
      <c r="D6" s="14" t="inlineStr"/>
    </row>
    <row r="7">
      <c r="A7" s="3" t="inlineStr">
        <is>
          <t>مصمم جرافيك</t>
        </is>
      </c>
      <c r="B7" s="4" t="inlineStr">
        <is>
          <t>كرياتيف، كاروسيل، الهوية البصرية</t>
        </is>
      </c>
      <c r="C7" s="4" t="inlineStr">
        <is>
          <t>3–5 تصاميم/أسبوع</t>
        </is>
      </c>
      <c r="D7" s="14" t="inlineStr"/>
    </row>
    <row r="8">
      <c r="A8" s="3" t="inlineStr">
        <is>
          <t>مصوّر / مونتير</t>
        </is>
      </c>
      <c r="B8" s="4" t="inlineStr">
        <is>
          <t>تصوير درون، ريلز، مونتاج تقدّم البناء</t>
        </is>
      </c>
      <c r="C8" s="4" t="inlineStr">
        <is>
          <t>تحديث بناء كل أسبوعين + ريلز</t>
        </is>
      </c>
      <c r="D8" s="14" t="inlineStr"/>
    </row>
    <row r="9">
      <c r="A9" s="3" t="inlineStr">
        <is>
          <t>Community Manager</t>
        </is>
      </c>
      <c r="B9" s="4" t="inlineStr">
        <is>
          <t>الرد على الكومنتات، التفاعل، تحويل المهتم</t>
        </is>
      </c>
      <c r="C9" s="4" t="inlineStr">
        <is>
          <t>تفاعل يومي + تحويل ليدات</t>
        </is>
      </c>
      <c r="D9" s="14" t="inlineStr"/>
    </row>
    <row r="10">
      <c r="A10" s="3" t="inlineStr">
        <is>
          <t>متابعة المبيعات</t>
        </is>
      </c>
      <c r="B10" s="4" t="inlineStr">
        <is>
          <t>استلام الليدات المؤهلة، الاتصال، المعاينة، الإغلاق</t>
        </is>
      </c>
      <c r="C10" s="4" t="inlineStr">
        <is>
          <t>تحديث حالة الليدات + معاينات</t>
        </is>
      </c>
      <c r="D10" s="14" t="inlineStr"/>
    </row>
    <row r="11">
      <c r="A11" s="3" t="inlineStr">
        <is>
          <t>المساعد الذكي (Bot)</t>
        </is>
      </c>
      <c r="B11" s="4" t="inlineStr">
        <is>
          <t>الرد الأول وتأهيل الليد لحظياً 24/7</t>
        </is>
      </c>
      <c r="C11" s="4" t="inlineStr">
        <is>
          <t>تأهيل تلقائي + تسجيل</t>
        </is>
      </c>
      <c r="D11" s="14" t="inlineStr">
        <is>
          <t>آلي</t>
        </is>
      </c>
    </row>
    <row r="14">
      <c r="A14" s="13" t="inlineStr">
        <is>
          <t>إيقاع الاجتماعات</t>
        </is>
      </c>
    </row>
    <row r="15">
      <c r="A15" s="2" t="inlineStr">
        <is>
          <t>الإيقاع</t>
        </is>
      </c>
      <c r="B15" s="2" t="inlineStr">
        <is>
          <t>المدة</t>
        </is>
      </c>
      <c r="C15" s="2" t="inlineStr">
        <is>
          <t>الهدف</t>
        </is>
      </c>
      <c r="D15" s="2" t="inlineStr">
        <is>
          <t>المشاركون</t>
        </is>
      </c>
    </row>
    <row r="16">
      <c r="A16" s="6" t="inlineStr">
        <is>
          <t>يومي</t>
        </is>
      </c>
      <c r="B16" s="6" t="inlineStr">
        <is>
          <t>15 دقيقة</t>
        </is>
      </c>
      <c r="C16" s="4" t="inlineStr">
        <is>
          <t>مراجعة الإنفاق والليدات</t>
        </is>
      </c>
      <c r="D16" s="4" t="inlineStr">
        <is>
          <t>Media Buyer + المدير</t>
        </is>
      </c>
    </row>
    <row r="17">
      <c r="A17" s="6" t="inlineStr">
        <is>
          <t>أسبوعي</t>
        </is>
      </c>
      <c r="B17" s="6" t="inlineStr">
        <is>
          <t>45 دقيقة</t>
        </is>
      </c>
      <c r="C17" s="4" t="inlineStr">
        <is>
          <t>الأداء + الكرياتيف الفائز + خطة الأسبوع</t>
        </is>
      </c>
      <c r="D17" s="4" t="inlineStr">
        <is>
          <t>الفريق كامل</t>
        </is>
      </c>
    </row>
    <row r="18">
      <c r="A18" s="6" t="inlineStr">
        <is>
          <t>شهري</t>
        </is>
      </c>
      <c r="B18" s="6" t="inlineStr">
        <is>
          <t>60 دقيقة</t>
        </is>
      </c>
      <c r="C18" s="4" t="inlineStr">
        <is>
          <t>المؤشرات مقابل المستهدف + الميزانية</t>
        </is>
      </c>
      <c r="D18" s="4" t="inlineStr">
        <is>
          <t>الفريق + الإدارة</t>
        </is>
      </c>
    </row>
    <row r="19">
      <c r="A19" s="6" t="inlineStr">
        <is>
          <t>ربع سنوي</t>
        </is>
      </c>
      <c r="B19" s="6" t="inlineStr">
        <is>
          <t>ساعتين</t>
        </is>
      </c>
      <c r="C19" s="4" t="inlineStr">
        <is>
          <t>مراجعة استراتيجية + أولويات الربع</t>
        </is>
      </c>
      <c r="D19" s="4" t="inlineStr">
        <is>
          <t>الفريق + الإدارة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8" customWidth="1" min="3" max="3"/>
    <col width="22" customWidth="1" min="4" max="4"/>
    <col width="20" customWidth="1" min="5" max="5"/>
  </cols>
  <sheetData>
    <row r="1" ht="36" customHeight="1">
      <c r="A1" s="1" t="inlineStr">
        <is>
          <t>خطة القنوات التسويقية</t>
        </is>
      </c>
    </row>
    <row r="3">
      <c r="A3" s="2" t="inlineStr">
        <is>
          <t>القناة</t>
        </is>
      </c>
      <c r="B3" s="2" t="inlineStr">
        <is>
          <t>الدور</t>
        </is>
      </c>
      <c r="C3" s="2" t="inlineStr">
        <is>
          <t>الهدف</t>
        </is>
      </c>
      <c r="D3" s="2" t="inlineStr">
        <is>
          <t>الإيقاع/الميزانية</t>
        </is>
      </c>
      <c r="E3" s="2" t="inlineStr">
        <is>
          <t>المؤشر الرئيسي</t>
        </is>
      </c>
    </row>
    <row r="4">
      <c r="A4" s="3" t="inlineStr">
        <is>
          <t>Meta Ads (FB+IG)</t>
        </is>
      </c>
      <c r="B4" s="4" t="inlineStr">
        <is>
          <t>ماكينة الليدات الأساسية</t>
        </is>
      </c>
      <c r="C4" s="4" t="inlineStr">
        <is>
          <t>Messages + Lead Forms</t>
        </is>
      </c>
      <c r="D4" s="6" t="inlineStr">
        <is>
          <t>≈13,000 ج/شهر</t>
        </is>
      </c>
      <c r="E4" s="6" t="inlineStr">
        <is>
          <t>تكلفة الليد</t>
        </is>
      </c>
    </row>
    <row r="5">
      <c r="A5" s="3" t="inlineStr">
        <is>
          <t>Organic (FB+IG)</t>
        </is>
      </c>
      <c r="B5" s="4" t="inlineStr">
        <is>
          <t>بناء البراند والثقة</t>
        </is>
      </c>
      <c r="C5" s="4" t="inlineStr">
        <is>
          <t>تقدّم بناء + تعليمي</t>
        </is>
      </c>
      <c r="D5" s="6" t="inlineStr">
        <is>
          <t>4–5 منشور/أسبوع</t>
        </is>
      </c>
      <c r="E5" s="6" t="inlineStr">
        <is>
          <t>Engagement + متابعين</t>
        </is>
      </c>
    </row>
    <row r="6">
      <c r="A6" s="3" t="inlineStr">
        <is>
          <t>TikTok</t>
        </is>
      </c>
      <c r="B6" s="4" t="inlineStr">
        <is>
          <t>وصول واسع رخيص</t>
        </is>
      </c>
      <c r="C6" s="4" t="inlineStr">
        <is>
          <t>ريلز درون + شريحة أصغر</t>
        </is>
      </c>
      <c r="D6" s="6" t="inlineStr">
        <is>
          <t>3 فيديو/أسبوع</t>
        </is>
      </c>
      <c r="E6" s="6" t="inlineStr">
        <is>
          <t>Views + Reach</t>
        </is>
      </c>
    </row>
    <row r="7">
      <c r="A7" s="3" t="inlineStr">
        <is>
          <t>WhatsApp + Bot</t>
        </is>
      </c>
      <c r="B7" s="4" t="inlineStr">
        <is>
          <t>التقاط وتأهيل الليد</t>
        </is>
      </c>
      <c r="C7" s="4" t="inlineStr">
        <is>
          <t>تأهيل لحظي 24/7</t>
        </is>
      </c>
      <c r="D7" s="6" t="inlineStr">
        <is>
          <t>آلي (موجود)</t>
        </is>
      </c>
      <c r="E7" s="6" t="inlineStr">
        <is>
          <t>ليدات مؤهلة</t>
        </is>
      </c>
    </row>
    <row r="8">
      <c r="A8" s="3" t="inlineStr">
        <is>
          <t>الإحالة الأرضية</t>
        </is>
      </c>
      <c r="B8" s="4" t="inlineStr">
        <is>
          <t>ذراع بني سويف + لافتات</t>
        </is>
      </c>
      <c r="C8" s="4" t="inlineStr">
        <is>
          <t>تحويلات محلية</t>
        </is>
      </c>
      <c r="D8" s="6" t="inlineStr">
        <is>
          <t>حسب الفعالية</t>
        </is>
      </c>
      <c r="E8" s="6" t="inlineStr">
        <is>
          <t>إحالات/زيارات</t>
        </is>
      </c>
    </row>
    <row r="9">
      <c r="A9" s="3" t="inlineStr">
        <is>
          <t>Email / SMS</t>
        </is>
      </c>
      <c r="B9" s="4" t="inlineStr">
        <is>
          <t>رعاية الليدات الباردة</t>
        </is>
      </c>
      <c r="C9" s="4" t="inlineStr">
        <is>
          <t>متابعة كل أسبوعين</t>
        </is>
      </c>
      <c r="D9" s="6" t="inlineStr">
        <is>
          <t>أداة جدولة</t>
        </is>
      </c>
      <c r="E9" s="6" t="inlineStr">
        <is>
          <t>معدل التحويل</t>
        </is>
      </c>
    </row>
    <row r="10">
      <c r="A10" s="3" t="inlineStr">
        <is>
          <t>Google / YouTube</t>
        </is>
      </c>
      <c r="B10" s="4" t="inlineStr">
        <is>
          <t>بحث + فيديو (Q3/Q4)</t>
        </is>
      </c>
      <c r="C10" s="4" t="inlineStr">
        <is>
          <t>نية شراء عالية</t>
        </is>
      </c>
      <c r="D10" s="6" t="inlineStr">
        <is>
          <t>تجريبي لاحقاً</t>
        </is>
      </c>
      <c r="E10" s="6" t="inlineStr">
        <is>
          <t>تكلفة التحويل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 ht="36" customHeight="1">
      <c r="A1" s="1" t="inlineStr">
        <is>
          <t>الجمهور المستهدف والـ Personas</t>
        </is>
      </c>
    </row>
    <row r="3">
      <c r="A3" s="2" t="inlineStr">
        <is>
          <t>🔵 Persona 1 — أهل بني سويف (المقيم المحلي)</t>
        </is>
      </c>
      <c r="B3" s="15" t="inlineStr"/>
    </row>
    <row r="4">
      <c r="A4" s="16" t="inlineStr">
        <is>
          <t>العمر</t>
        </is>
      </c>
      <c r="B4" s="4" t="inlineStr">
        <is>
          <t>28–55</t>
        </is>
      </c>
    </row>
    <row r="5">
      <c r="A5" s="16" t="inlineStr">
        <is>
          <t>الدافع</t>
        </is>
      </c>
      <c r="B5" s="4" t="inlineStr">
        <is>
          <t>سكن عائلي أو استثمار قريب يقدر يتابعه بنفسه</t>
        </is>
      </c>
    </row>
    <row r="6">
      <c r="A6" s="16" t="inlineStr">
        <is>
          <t>الرسالة</t>
        </is>
      </c>
      <c r="B6" s="4" t="inlineStr">
        <is>
          <t>بيتك في قلب شرق النيل، بنظام سداد مريح</t>
        </is>
      </c>
    </row>
    <row r="7">
      <c r="A7" s="16" t="inlineStr">
        <is>
          <t>الموقع</t>
        </is>
      </c>
      <c r="B7" s="4" t="inlineStr">
        <is>
          <t>بني سويف (40 كم) + المقيمين فيها</t>
        </is>
      </c>
    </row>
    <row r="8">
      <c r="A8" s="16" t="inlineStr">
        <is>
          <t>الاهتمامات</t>
        </is>
      </c>
      <c r="B8" s="4" t="inlineStr">
        <is>
          <t>Real estate, Property, Investment, Home improvement</t>
        </is>
      </c>
    </row>
    <row r="9">
      <c r="A9" s="16" t="inlineStr">
        <is>
          <t>القناة</t>
        </is>
      </c>
      <c r="B9" s="4" t="inlineStr">
        <is>
          <t>Meta Ads محلي + Organic + إحالة أرضية</t>
        </is>
      </c>
    </row>
    <row r="10">
      <c r="A10" s="16" t="inlineStr"/>
      <c r="B10" s="4" t="inlineStr"/>
    </row>
    <row r="11">
      <c r="A11" s="2" t="inlineStr">
        <is>
          <t>🟢 Persona 2 — المغترب البنّي سويفي (Gulf Expat)</t>
        </is>
      </c>
      <c r="B11" s="15" t="inlineStr"/>
    </row>
    <row r="12">
      <c r="A12" s="16" t="inlineStr">
        <is>
          <t>الدافع</t>
        </is>
      </c>
      <c r="B12" s="4" t="inlineStr">
        <is>
          <t>استثمار آمن بالجنيه في بلده، بيت العيلة، التقاعد</t>
        </is>
      </c>
    </row>
    <row r="13">
      <c r="A13" s="16" t="inlineStr">
        <is>
          <t>الرسالة</t>
        </is>
      </c>
      <c r="B13" s="4" t="inlineStr">
        <is>
          <t>استثمر في بلدك من بعيد — وإحنا بنرتّب كل حاجة عن بُعد</t>
        </is>
      </c>
    </row>
    <row r="14">
      <c r="A14" s="16" t="inlineStr">
        <is>
          <t>الموقع</t>
        </is>
      </c>
      <c r="B14" s="4" t="inlineStr">
        <is>
          <t>السعودية، الإمارات، الكويت، قطر، عُمان</t>
        </is>
      </c>
    </row>
    <row r="15">
      <c r="A15" s="16" t="inlineStr">
        <is>
          <t>الاستهداف</t>
        </is>
      </c>
      <c r="B15" s="4" t="inlineStr">
        <is>
          <t>Expats — lived in Egypt + خرّيجي/مدارس بني سويف</t>
        </is>
      </c>
    </row>
    <row r="16">
      <c r="A16" s="16" t="inlineStr">
        <is>
          <t>القناة</t>
        </is>
      </c>
      <c r="B16" s="4" t="inlineStr">
        <is>
          <t>Meta Ads خليج + WhatsApp + فيديو ثقة</t>
        </is>
      </c>
    </row>
    <row r="17">
      <c r="A17" s="16" t="inlineStr"/>
      <c r="B17" s="4" t="inlineStr"/>
    </row>
    <row r="18">
      <c r="A18" s="2" t="inlineStr">
        <is>
          <t>🟡 Persona 3 — المستثمر العقاري</t>
        </is>
      </c>
      <c r="B18" s="15" t="inlineStr"/>
    </row>
    <row r="19">
      <c r="A19" s="16" t="inlineStr">
        <is>
          <t>الدافع</t>
        </is>
      </c>
      <c r="B19" s="4" t="inlineStr">
        <is>
          <t>العائد، موقع تجاري ناصية، قناة إعادة بيع الشركة</t>
        </is>
      </c>
    </row>
    <row r="20">
      <c r="A20" s="16" t="inlineStr">
        <is>
          <t>الرسالة</t>
        </is>
      </c>
      <c r="B20" s="4" t="inlineStr">
        <is>
          <t>موقع تجاري قوي + ذراع تسويق يساعدك تبيع وقت ما تحب</t>
        </is>
      </c>
    </row>
    <row r="21">
      <c r="A21" s="16" t="inlineStr">
        <is>
          <t>الاهتمامات</t>
        </is>
      </c>
      <c r="B21" s="4" t="inlineStr">
        <is>
          <t>Real estate investing, Property investment, Egyptian real estate</t>
        </is>
      </c>
    </row>
    <row r="22">
      <c r="A22" s="16" t="inlineStr">
        <is>
          <t>القناة</t>
        </is>
      </c>
      <c r="B22" s="4" t="inlineStr">
        <is>
          <t>Meta Ads (Interests) + Retargeting + LinkedIn لاحقاً</t>
        </is>
      </c>
    </row>
    <row r="23">
      <c r="A23" s="16" t="inlineStr"/>
      <c r="B23" s="4" t="inlineStr"/>
    </row>
    <row r="24">
      <c r="A24" s="2" t="inlineStr">
        <is>
          <t>🟣 Retargeting (جمهور دافئ)</t>
        </is>
      </c>
      <c r="B24" s="15" t="inlineStr"/>
    </row>
    <row r="25">
      <c r="A25" s="16" t="inlineStr">
        <is>
          <t>Custom Audience</t>
        </is>
      </c>
      <c r="B25" s="4" t="inlineStr">
        <is>
          <t>تفاعل البيدج 90 يوم + اللي بعتوا رسالة + Video Viewers 50%+</t>
        </is>
      </c>
    </row>
    <row r="26">
      <c r="A26" s="16" t="inlineStr">
        <is>
          <t>Lookalike</t>
        </is>
      </c>
      <c r="B26" s="4" t="inlineStr">
        <is>
          <t>2% من قائمة العملاء/الليدات (وقت ما تتوفر)</t>
        </is>
      </c>
    </row>
    <row r="27">
      <c r="A27" s="16" t="inlineStr"/>
      <c r="B27" s="4" t="inlineStr"/>
    </row>
    <row r="28">
      <c r="A28" s="17" t="inlineStr">
        <is>
          <t>⚠️ التزام</t>
        </is>
      </c>
      <c r="B28" s="17" t="inlineStr">
        <is>
          <t>ممنوع وعد العميل بعائد مضمون أو ارتفاع أسعار/إيجارات مستقبلية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22" customWidth="1" min="4" max="4"/>
  </cols>
  <sheetData>
    <row r="1" ht="36" customHeight="1">
      <c r="A1" s="1" t="inlineStr">
        <is>
          <t>تقويم المحتوى — محاور شهرية وإيقاع أسبوعي</t>
        </is>
      </c>
    </row>
    <row r="3">
      <c r="A3" s="18" t="inlineStr">
        <is>
          <t>ركائز المحتوى (5 محاور)</t>
        </is>
      </c>
    </row>
    <row r="4">
      <c r="A4" s="10" t="inlineStr">
        <is>
          <t>1. تقدّم البناء</t>
        </is>
      </c>
      <c r="B4" s="4" t="inlineStr">
        <is>
          <t>صور/فيديو من الموقع كل أسبوعين → ثقة</t>
        </is>
      </c>
    </row>
    <row r="5">
      <c r="A5" s="10" t="inlineStr">
        <is>
          <t>2. تعليمي</t>
        </is>
      </c>
      <c r="B5" s="4" t="inlineStr">
        <is>
          <t>شرح أنظمة السداد، نصائح استثمار، نمو بني سويف</t>
        </is>
      </c>
    </row>
    <row r="6">
      <c r="A6" s="10" t="inlineStr">
        <is>
          <t>3. الوحدات والعروض</t>
        </is>
      </c>
      <c r="B6" s="4" t="inlineStr">
        <is>
          <t>عرض الوحدات المتاحة بشكل منظّم (المعتمد فقط)</t>
        </is>
      </c>
    </row>
    <row r="7">
      <c r="A7" s="10" t="inlineStr">
        <is>
          <t>4. الثقة والمصداقية</t>
        </is>
      </c>
      <c r="B7" s="4" t="inlineStr">
        <is>
          <t>قصة الشركة، رؤيتها، شهادات العملاء</t>
        </is>
      </c>
    </row>
    <row r="8">
      <c r="A8" s="10" t="inlineStr">
        <is>
          <t>5. الموقع والمجتمع</t>
        </is>
      </c>
      <c r="B8" s="4" t="inlineStr">
        <is>
          <t>معالم شرق النيل، أسلوب الحياة</t>
        </is>
      </c>
    </row>
    <row r="10">
      <c r="A10" s="18" t="inlineStr">
        <is>
          <t>المحاور الشهرية</t>
        </is>
      </c>
    </row>
    <row r="11">
      <c r="A11" s="2" t="inlineStr">
        <is>
          <t>الشهر</t>
        </is>
      </c>
      <c r="B11" s="2" t="inlineStr">
        <is>
          <t>المحور الرئيسي</t>
        </is>
      </c>
      <c r="C11" s="2" t="inlineStr">
        <is>
          <t>حملة/مناسبة</t>
        </is>
      </c>
      <c r="D11" s="2" t="inlineStr">
        <is>
          <t>نوع المحتوى الأبرز</t>
        </is>
      </c>
    </row>
    <row r="12">
      <c r="A12" s="6" t="inlineStr">
        <is>
          <t>يونيو</t>
        </is>
      </c>
      <c r="B12" s="4" t="inlineStr">
        <is>
          <t>تعريف بالمشروع والموقع</t>
        </is>
      </c>
      <c r="C12" s="4" t="inlineStr">
        <is>
          <t>إطلاق</t>
        </is>
      </c>
      <c r="D12" s="4" t="inlineStr">
        <is>
          <t>فيديو درون + كاروسيل</t>
        </is>
      </c>
    </row>
    <row r="13">
      <c r="A13" s="6" t="inlineStr">
        <is>
          <t>يوليو</t>
        </is>
      </c>
      <c r="B13" s="4" t="inlineStr">
        <is>
          <t>المغتربون العائدون</t>
        </is>
      </c>
      <c r="C13" s="4" t="inlineStr">
        <is>
          <t>صيف المعاينات</t>
        </is>
      </c>
      <c r="D13" s="4" t="inlineStr">
        <is>
          <t>فيديو ثقة + شهادات</t>
        </is>
      </c>
    </row>
    <row r="14">
      <c r="A14" s="6" t="inlineStr">
        <is>
          <t>أغسطس</t>
        </is>
      </c>
      <c r="B14" s="4" t="inlineStr">
        <is>
          <t>أنظمة السداد المرنة</t>
        </is>
      </c>
      <c r="C14" s="4" t="inlineStr">
        <is>
          <t>تعليمي</t>
        </is>
      </c>
      <c r="D14" s="4" t="inlineStr">
        <is>
          <t>إنفوجرافيك + Reels</t>
        </is>
      </c>
    </row>
    <row r="15">
      <c r="A15" s="6" t="inlineStr">
        <is>
          <t>سبتمبر</t>
        </is>
      </c>
      <c r="B15" s="4" t="inlineStr">
        <is>
          <t>تقدّم البناء</t>
        </is>
      </c>
      <c r="C15" s="4" t="inlineStr">
        <is>
          <t>ثقة</t>
        </is>
      </c>
      <c r="D15" s="4" t="inlineStr">
        <is>
          <t>تحديث موقع + Before/After</t>
        </is>
      </c>
    </row>
    <row r="16">
      <c r="A16" s="6" t="inlineStr">
        <is>
          <t>أكتوبر</t>
        </is>
      </c>
      <c r="B16" s="4" t="inlineStr">
        <is>
          <t>الوحدات التجارية/الإدارية</t>
        </is>
      </c>
      <c r="C16" s="4" t="inlineStr">
        <is>
          <t>المستثمر</t>
        </is>
      </c>
      <c r="D16" s="4" t="inlineStr">
        <is>
          <t>كاروسيل عوائد الموقع</t>
        </is>
      </c>
    </row>
    <row r="17">
      <c r="A17" s="6" t="inlineStr">
        <is>
          <t>نوفمبر</t>
        </is>
      </c>
      <c r="B17" s="4" t="inlineStr">
        <is>
          <t>شهادات أول المشترين</t>
        </is>
      </c>
      <c r="C17" s="4" t="inlineStr">
        <is>
          <t>Social Proof</t>
        </is>
      </c>
      <c r="D17" s="4" t="inlineStr">
        <is>
          <t>فيديو شهادات</t>
        </is>
      </c>
    </row>
    <row r="18">
      <c r="A18" s="6" t="inlineStr">
        <is>
          <t>ديسمبر</t>
        </is>
      </c>
      <c r="B18" s="4" t="inlineStr">
        <is>
          <t>حصاد السنة + رؤية</t>
        </is>
      </c>
      <c r="C18" s="4" t="inlineStr">
        <is>
          <t>براند</t>
        </is>
      </c>
      <c r="D18" s="4" t="inlineStr">
        <is>
          <t>فيديو احترافي</t>
        </is>
      </c>
    </row>
    <row r="19">
      <c r="A19" s="6" t="inlineStr">
        <is>
          <t>يناير</t>
        </is>
      </c>
      <c r="B19" s="4" t="inlineStr">
        <is>
          <t>بداية سنة استثمارية</t>
        </is>
      </c>
      <c r="C19" s="4" t="inlineStr">
        <is>
          <t>تعليمي</t>
        </is>
      </c>
      <c r="D19" s="4" t="inlineStr">
        <is>
          <t>نصائح + Lead magnet</t>
        </is>
      </c>
    </row>
    <row r="20">
      <c r="A20" s="6" t="inlineStr">
        <is>
          <t>فبراير</t>
        </is>
      </c>
      <c r="B20" s="4" t="inlineStr">
        <is>
          <t>تشويق Sky East</t>
        </is>
      </c>
      <c r="C20" s="4" t="inlineStr">
        <is>
          <t>تشويق</t>
        </is>
      </c>
      <c r="D20" s="4" t="inlineStr">
        <is>
          <t>Teaser + قائمة اهتمام</t>
        </is>
      </c>
    </row>
    <row r="21">
      <c r="A21" s="6" t="inlineStr">
        <is>
          <t>مارس</t>
        </is>
      </c>
      <c r="B21" s="4" t="inlineStr">
        <is>
          <t>رمضان — بيت العيلة</t>
        </is>
      </c>
      <c r="C21" s="4" t="inlineStr">
        <is>
          <t>موسمي عاطفي</t>
        </is>
      </c>
      <c r="D21" s="4" t="inlineStr">
        <is>
          <t>فيديو رمضاني</t>
        </is>
      </c>
    </row>
    <row r="22">
      <c r="A22" s="6" t="inlineStr">
        <is>
          <t>أبريل</t>
        </is>
      </c>
      <c r="B22" s="4" t="inlineStr">
        <is>
          <t>العيد + إغلاق</t>
        </is>
      </c>
      <c r="C22" s="4" t="inlineStr">
        <is>
          <t>عروض موسمية</t>
        </is>
      </c>
      <c r="D22" s="4" t="inlineStr">
        <is>
          <t>عروض ضمن المعتمد</t>
        </is>
      </c>
    </row>
    <row r="23">
      <c r="A23" s="6" t="inlineStr">
        <is>
          <t>مايو</t>
        </is>
      </c>
      <c r="B23" s="4" t="inlineStr">
        <is>
          <t>مراجعة + المشروع القادم</t>
        </is>
      </c>
      <c r="C23" s="4" t="inlineStr">
        <is>
          <t>إطلاق جديد</t>
        </is>
      </c>
      <c r="D23" s="4" t="inlineStr">
        <is>
          <t>إعلان رسمي</t>
        </is>
      </c>
    </row>
    <row r="25">
      <c r="A25" s="18" t="inlineStr">
        <is>
          <t>الإيقاع الأسبوعي</t>
        </is>
      </c>
    </row>
    <row r="26">
      <c r="A26" s="2" t="inlineStr">
        <is>
          <t>المنصة</t>
        </is>
      </c>
      <c r="B26" s="2" t="inlineStr">
        <is>
          <t>العدد/الأسبوع</t>
        </is>
      </c>
      <c r="C26" s="2" t="inlineStr">
        <is>
          <t>النوع</t>
        </is>
      </c>
      <c r="D26" s="2" t="inlineStr">
        <is>
          <t>ملاحظة</t>
        </is>
      </c>
    </row>
    <row r="27">
      <c r="A27" s="6" t="inlineStr">
        <is>
          <t>Facebook + Instagram</t>
        </is>
      </c>
      <c r="B27" s="6" t="inlineStr">
        <is>
          <t>4–5 منشور + Stories يومية</t>
        </is>
      </c>
      <c r="C27" s="4" t="inlineStr">
        <is>
          <t>متنوّع حسب المحاور</t>
        </is>
      </c>
      <c r="D27" s="4" t="inlineStr">
        <is>
          <t>أساسي</t>
        </is>
      </c>
    </row>
    <row r="28">
      <c r="A28" s="6" t="inlineStr">
        <is>
          <t>TikTok / Reels</t>
        </is>
      </c>
      <c r="B28" s="6" t="inlineStr">
        <is>
          <t>3 فيديو</t>
        </is>
      </c>
      <c r="C28" s="4" t="inlineStr">
        <is>
          <t>درون + لقطات سريعة</t>
        </is>
      </c>
      <c r="D28" s="4" t="inlineStr">
        <is>
          <t>وصول واسع</t>
        </is>
      </c>
    </row>
    <row r="29">
      <c r="A29" s="6" t="inlineStr">
        <is>
          <t>تقدّم البناء</t>
        </is>
      </c>
      <c r="B29" s="6" t="inlineStr">
        <is>
          <t>كل أسبوعين</t>
        </is>
      </c>
      <c r="C29" s="4" t="inlineStr">
        <is>
          <t>Reel + ألبوم صور</t>
        </is>
      </c>
      <c r="D29" s="4" t="inlineStr">
        <is>
          <t>ثقة</t>
        </is>
      </c>
    </row>
    <row r="30">
      <c r="A30" s="6" t="inlineStr">
        <is>
          <t>Email / SMS</t>
        </is>
      </c>
      <c r="B30" s="6" t="inlineStr">
        <is>
          <t>كل أسبوعين</t>
        </is>
      </c>
      <c r="C30" s="4" t="inlineStr">
        <is>
          <t>رعاية ليدات</t>
        </is>
      </c>
      <c r="D30" s="4" t="inlineStr">
        <is>
          <t>غير المغلقين</t>
        </is>
      </c>
    </row>
  </sheetData>
  <mergeCells count="9">
    <mergeCell ref="A1:D1"/>
    <mergeCell ref="B5:D5"/>
    <mergeCell ref="B8:D8"/>
    <mergeCell ref="A3:D3"/>
    <mergeCell ref="B4:D4"/>
    <mergeCell ref="A25:D25"/>
    <mergeCell ref="A10:D10"/>
    <mergeCell ref="B7:D7"/>
    <mergeCell ref="B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4" customWidth="1" min="4" max="4"/>
  </cols>
  <sheetData>
    <row r="1" ht="36" customHeight="1">
      <c r="A1" s="1" t="inlineStr">
        <is>
          <t>المؤشرات والمستهدفات الشهرية</t>
        </is>
      </c>
    </row>
    <row r="3">
      <c r="A3" s="2" t="inlineStr">
        <is>
          <t>المؤشر</t>
        </is>
      </c>
      <c r="B3" s="2" t="inlineStr">
        <is>
          <t>المستهدف الشهري</t>
        </is>
      </c>
      <c r="C3" s="2" t="inlineStr">
        <is>
          <t>المستهدف السنوي</t>
        </is>
      </c>
      <c r="D3" s="2" t="inlineStr">
        <is>
          <t>ملاحظة</t>
        </is>
      </c>
    </row>
    <row r="4">
      <c r="A4" s="10" t="inlineStr">
        <is>
          <t>Reach</t>
        </is>
      </c>
      <c r="B4" s="7" t="n">
        <v>100000</v>
      </c>
      <c r="C4" s="8">
        <f>B4*12</f>
        <v/>
      </c>
      <c r="D4" s="6" t="inlineStr">
        <is>
          <t>وصول</t>
        </is>
      </c>
    </row>
    <row r="5">
      <c r="A5" s="10" t="inlineStr">
        <is>
          <t>Impressions</t>
        </is>
      </c>
      <c r="B5" s="7" t="n">
        <v>400000</v>
      </c>
      <c r="C5" s="8">
        <f>B5*12</f>
        <v/>
      </c>
      <c r="D5" s="6" t="inlineStr">
        <is>
          <t>ظهور</t>
        </is>
      </c>
    </row>
    <row r="6">
      <c r="A6" s="10" t="inlineStr">
        <is>
          <t>Engagement Rate %</t>
        </is>
      </c>
      <c r="B6" s="6" t="inlineStr">
        <is>
          <t>3%</t>
        </is>
      </c>
      <c r="C6" s="6" t="inlineStr">
        <is>
          <t>—</t>
        </is>
      </c>
      <c r="D6" s="6" t="inlineStr">
        <is>
          <t>تفاعل</t>
        </is>
      </c>
    </row>
    <row r="7">
      <c r="A7" s="10" t="inlineStr">
        <is>
          <t>Messages / Conversations</t>
        </is>
      </c>
      <c r="B7" s="7" t="n">
        <v>800</v>
      </c>
      <c r="C7" s="8">
        <f>B7*12</f>
        <v/>
      </c>
      <c r="D7" s="6" t="inlineStr">
        <is>
          <t>هدف أساسي</t>
        </is>
      </c>
    </row>
    <row r="8">
      <c r="A8" s="10" t="inlineStr">
        <is>
          <t>Leads (فورم + رسالة)</t>
        </is>
      </c>
      <c r="B8" s="7" t="n">
        <v>850</v>
      </c>
      <c r="C8" s="8">
        <f>B8*12</f>
        <v/>
      </c>
      <c r="D8" s="6" t="inlineStr">
        <is>
          <t>توليد</t>
        </is>
      </c>
    </row>
    <row r="9">
      <c r="A9" s="10" t="inlineStr">
        <is>
          <t>Cost per Lead (ج)</t>
        </is>
      </c>
      <c r="B9" s="7" t="n">
        <v>12</v>
      </c>
      <c r="C9" s="6" t="inlineStr">
        <is>
          <t>—</t>
        </is>
      </c>
      <c r="D9" s="6" t="inlineStr">
        <is>
          <t>Hard cap</t>
        </is>
      </c>
    </row>
    <row r="10">
      <c r="A10" s="10" t="inlineStr">
        <is>
          <t>Qualified Leads (من البوت)</t>
        </is>
      </c>
      <c r="B10" s="7" t="n">
        <v>220</v>
      </c>
      <c r="C10" s="8">
        <f>B10*12</f>
        <v/>
      </c>
      <c r="D10" s="6" t="inlineStr">
        <is>
          <t>≈25–30%</t>
        </is>
      </c>
    </row>
    <row r="11">
      <c r="A11" s="10" t="inlineStr">
        <is>
          <t>Cost per Qualified Lead (ج)</t>
        </is>
      </c>
      <c r="B11" s="7" t="n">
        <v>35</v>
      </c>
      <c r="C11" s="6" t="inlineStr">
        <is>
          <t>—</t>
        </is>
      </c>
      <c r="D11" s="6" t="inlineStr">
        <is>
          <t>CPQL</t>
        </is>
      </c>
    </row>
    <row r="12">
      <c r="A12" s="10" t="inlineStr">
        <is>
          <t>معاينات / اجتماعات</t>
        </is>
      </c>
      <c r="B12" s="7" t="n">
        <v>30</v>
      </c>
      <c r="C12" s="8">
        <f>B12*12</f>
        <v/>
      </c>
      <c r="D12" s="6" t="inlineStr">
        <is>
          <t>تحويل</t>
        </is>
      </c>
    </row>
    <row r="13">
      <c r="A13" s="10" t="inlineStr">
        <is>
          <t>صفقات مغلقة</t>
        </is>
      </c>
      <c r="B13" s="6" t="inlineStr">
        <is>
          <t>1–2</t>
        </is>
      </c>
      <c r="C13" s="6" t="inlineStr">
        <is>
          <t>—</t>
        </is>
      </c>
      <c r="D13" s="6" t="inlineStr">
        <is>
          <t>حسب التوافر</t>
        </is>
      </c>
    </row>
    <row r="14">
      <c r="A14" s="10" t="inlineStr">
        <is>
          <t>نمو المتابعين</t>
        </is>
      </c>
      <c r="B14" s="7" t="n">
        <v>1250</v>
      </c>
      <c r="C14" s="8">
        <f>B14*12</f>
        <v/>
      </c>
      <c r="D14" s="6" t="inlineStr">
        <is>
          <t>FB+IG+TikTok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6" customWidth="1" min="7" max="7"/>
    <col width="10" customWidth="1" min="8" max="8"/>
    <col width="24" customWidth="1" min="9" max="9"/>
  </cols>
  <sheetData>
    <row r="1" ht="36" customHeight="1">
      <c r="A1" s="1" t="inlineStr">
        <is>
          <t>متابعة شهرية للأداء (تُملأ شهرياً)</t>
        </is>
      </c>
    </row>
    <row r="3">
      <c r="A3" s="2" t="inlineStr">
        <is>
          <t>الشهر</t>
        </is>
      </c>
      <c r="B3" s="2" t="inlineStr">
        <is>
          <t>إنفاق (ج)</t>
        </is>
      </c>
      <c r="C3" s="2" t="inlineStr">
        <is>
          <t>Reach</t>
        </is>
      </c>
      <c r="D3" s="2" t="inlineStr">
        <is>
          <t>رسائل</t>
        </is>
      </c>
      <c r="E3" s="2" t="inlineStr">
        <is>
          <t>ليدات</t>
        </is>
      </c>
      <c r="F3" s="2" t="inlineStr">
        <is>
          <t>ليدات مؤهلة</t>
        </is>
      </c>
      <c r="G3" s="2" t="inlineStr">
        <is>
          <t>تكلفة الليد (ج)</t>
        </is>
      </c>
      <c r="H3" s="2" t="inlineStr">
        <is>
          <t>صفقات</t>
        </is>
      </c>
      <c r="I3" s="2" t="inlineStr">
        <is>
          <t>ملاحظات</t>
        </is>
      </c>
    </row>
    <row r="4">
      <c r="A4" s="19" t="inlineStr">
        <is>
          <t>يونيو</t>
        </is>
      </c>
      <c r="B4" s="7" t="n"/>
      <c r="C4" s="7" t="n"/>
      <c r="D4" s="7" t="n"/>
      <c r="E4" s="7" t="n"/>
      <c r="F4" s="7" t="n"/>
      <c r="G4" s="20">
        <f>IFERROR(B4/E4,0)</f>
        <v/>
      </c>
      <c r="H4" s="7" t="n"/>
      <c r="I4" s="21" t="n"/>
    </row>
    <row r="5">
      <c r="A5" s="19" t="inlineStr">
        <is>
          <t>يوليو</t>
        </is>
      </c>
      <c r="B5" s="7" t="n"/>
      <c r="C5" s="7" t="n"/>
      <c r="D5" s="7" t="n"/>
      <c r="E5" s="7" t="n"/>
      <c r="F5" s="7" t="n"/>
      <c r="G5" s="20">
        <f>IFERROR(B5/E5,0)</f>
        <v/>
      </c>
      <c r="H5" s="7" t="n"/>
      <c r="I5" s="21" t="n"/>
    </row>
    <row r="6">
      <c r="A6" s="19" t="inlineStr">
        <is>
          <t>أغسطس</t>
        </is>
      </c>
      <c r="B6" s="7" t="n"/>
      <c r="C6" s="7" t="n"/>
      <c r="D6" s="7" t="n"/>
      <c r="E6" s="7" t="n"/>
      <c r="F6" s="7" t="n"/>
      <c r="G6" s="20">
        <f>IFERROR(B6/E6,0)</f>
        <v/>
      </c>
      <c r="H6" s="7" t="n"/>
      <c r="I6" s="21" t="n"/>
    </row>
    <row r="7">
      <c r="A7" s="19" t="inlineStr">
        <is>
          <t>سبتمبر</t>
        </is>
      </c>
      <c r="B7" s="7" t="n"/>
      <c r="C7" s="7" t="n"/>
      <c r="D7" s="7" t="n"/>
      <c r="E7" s="7" t="n"/>
      <c r="F7" s="7" t="n"/>
      <c r="G7" s="20">
        <f>IFERROR(B7/E7,0)</f>
        <v/>
      </c>
      <c r="H7" s="7" t="n"/>
      <c r="I7" s="21" t="n"/>
    </row>
    <row r="8">
      <c r="A8" s="19" t="inlineStr">
        <is>
          <t>أكتوبر</t>
        </is>
      </c>
      <c r="B8" s="7" t="n"/>
      <c r="C8" s="7" t="n"/>
      <c r="D8" s="7" t="n"/>
      <c r="E8" s="7" t="n"/>
      <c r="F8" s="7" t="n"/>
      <c r="G8" s="20">
        <f>IFERROR(B8/E8,0)</f>
        <v/>
      </c>
      <c r="H8" s="7" t="n"/>
      <c r="I8" s="21" t="n"/>
    </row>
    <row r="9">
      <c r="A9" s="19" t="inlineStr">
        <is>
          <t>نوفمبر</t>
        </is>
      </c>
      <c r="B9" s="7" t="n"/>
      <c r="C9" s="7" t="n"/>
      <c r="D9" s="7" t="n"/>
      <c r="E9" s="7" t="n"/>
      <c r="F9" s="7" t="n"/>
      <c r="G9" s="20">
        <f>IFERROR(B9/E9,0)</f>
        <v/>
      </c>
      <c r="H9" s="7" t="n"/>
      <c r="I9" s="21" t="n"/>
    </row>
    <row r="10">
      <c r="A10" s="19" t="inlineStr">
        <is>
          <t>ديسمبر</t>
        </is>
      </c>
      <c r="B10" s="7" t="n"/>
      <c r="C10" s="7" t="n"/>
      <c r="D10" s="7" t="n"/>
      <c r="E10" s="7" t="n"/>
      <c r="F10" s="7" t="n"/>
      <c r="G10" s="20">
        <f>IFERROR(B10/E10,0)</f>
        <v/>
      </c>
      <c r="H10" s="7" t="n"/>
      <c r="I10" s="21" t="n"/>
    </row>
    <row r="11">
      <c r="A11" s="19" t="inlineStr">
        <is>
          <t>يناير</t>
        </is>
      </c>
      <c r="B11" s="7" t="n"/>
      <c r="C11" s="7" t="n"/>
      <c r="D11" s="7" t="n"/>
      <c r="E11" s="7" t="n"/>
      <c r="F11" s="7" t="n"/>
      <c r="G11" s="20">
        <f>IFERROR(B11/E11,0)</f>
        <v/>
      </c>
      <c r="H11" s="7" t="n"/>
      <c r="I11" s="21" t="n"/>
    </row>
    <row r="12">
      <c r="A12" s="19" t="inlineStr">
        <is>
          <t>فبراير</t>
        </is>
      </c>
      <c r="B12" s="7" t="n"/>
      <c r="C12" s="7" t="n"/>
      <c r="D12" s="7" t="n"/>
      <c r="E12" s="7" t="n"/>
      <c r="F12" s="7" t="n"/>
      <c r="G12" s="20">
        <f>IFERROR(B12/E12,0)</f>
        <v/>
      </c>
      <c r="H12" s="7" t="n"/>
      <c r="I12" s="21" t="n"/>
    </row>
    <row r="13">
      <c r="A13" s="19" t="inlineStr">
        <is>
          <t>مارس</t>
        </is>
      </c>
      <c r="B13" s="7" t="n"/>
      <c r="C13" s="7" t="n"/>
      <c r="D13" s="7" t="n"/>
      <c r="E13" s="7" t="n"/>
      <c r="F13" s="7" t="n"/>
      <c r="G13" s="20">
        <f>IFERROR(B13/E13,0)</f>
        <v/>
      </c>
      <c r="H13" s="7" t="n"/>
      <c r="I13" s="21" t="n"/>
    </row>
    <row r="14">
      <c r="A14" s="19" t="inlineStr">
        <is>
          <t>أبريل</t>
        </is>
      </c>
      <c r="B14" s="7" t="n"/>
      <c r="C14" s="7" t="n"/>
      <c r="D14" s="7" t="n"/>
      <c r="E14" s="7" t="n"/>
      <c r="F14" s="7" t="n"/>
      <c r="G14" s="20">
        <f>IFERROR(B14/E14,0)</f>
        <v/>
      </c>
      <c r="H14" s="7" t="n"/>
      <c r="I14" s="21" t="n"/>
    </row>
    <row r="15">
      <c r="A15" s="19" t="inlineStr">
        <is>
          <t>مايو</t>
        </is>
      </c>
      <c r="B15" s="7" t="n"/>
      <c r="C15" s="7" t="n"/>
      <c r="D15" s="7" t="n"/>
      <c r="E15" s="7" t="n"/>
      <c r="F15" s="7" t="n"/>
      <c r="G15" s="20">
        <f>IFERROR(B15/E15,0)</f>
        <v/>
      </c>
      <c r="H15" s="7" t="n"/>
      <c r="I15" s="21" t="n"/>
    </row>
    <row r="16">
      <c r="A16" s="3" t="inlineStr">
        <is>
          <t>الإجمالي</t>
        </is>
      </c>
      <c r="B16" s="11">
        <f>SUM(B4:B15)</f>
        <v/>
      </c>
      <c r="C16" s="11">
        <f>SUM(C4:C15)</f>
        <v/>
      </c>
      <c r="D16" s="11">
        <f>SUM(D4:D15)</f>
        <v/>
      </c>
      <c r="E16" s="11">
        <f>SUM(E4:E15)</f>
        <v/>
      </c>
      <c r="F16" s="11">
        <f>SUM(F4:F15)</f>
        <v/>
      </c>
      <c r="G16" s="22">
        <f>IFERROR(B16/E16,0)</f>
        <v/>
      </c>
      <c r="H16" s="11">
        <f>SUM(H4:H15)</f>
        <v/>
      </c>
      <c r="I16" s="3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26" customWidth="1" min="3" max="3"/>
  </cols>
  <sheetData>
    <row r="1" ht="36" customHeight="1">
      <c r="A1" s="1" t="inlineStr">
        <is>
          <t>قمع العميل وإدارة الليدات</t>
        </is>
      </c>
    </row>
    <row r="3">
      <c r="A3" s="2" t="inlineStr">
        <is>
          <t>المرحلة</t>
        </is>
      </c>
      <c r="B3" s="2" t="inlineStr">
        <is>
          <t>الوصف</t>
        </is>
      </c>
      <c r="C3" s="2" t="inlineStr">
        <is>
          <t>المسؤول</t>
        </is>
      </c>
    </row>
    <row r="4">
      <c r="A4" s="3" t="inlineStr">
        <is>
          <t>1. الجذب</t>
        </is>
      </c>
      <c r="B4" s="4" t="inlineStr">
        <is>
          <t>إعلان / منشور يجذب الجمهور المستهدف</t>
        </is>
      </c>
      <c r="C4" s="6" t="inlineStr">
        <is>
          <t>Media Buyer + المحتوى</t>
        </is>
      </c>
    </row>
    <row r="5">
      <c r="A5" s="3" t="inlineStr">
        <is>
          <t>2. التواصل</t>
        </is>
      </c>
      <c r="B5" s="4" t="inlineStr">
        <is>
          <t>العميل يبعت رسالة (ماسنجر/واتساب)</t>
        </is>
      </c>
      <c r="C5" s="6" t="inlineStr">
        <is>
          <t>الإعلان → البوت</t>
        </is>
      </c>
    </row>
    <row r="6">
      <c r="A6" s="3" t="inlineStr">
        <is>
          <t>3. التأهيل</t>
        </is>
      </c>
      <c r="B6" s="4" t="inlineStr">
        <is>
          <t>البوت يسأل: الاهتمام + نوع الوحدة + الميزانية + وسيلة تواصل</t>
        </is>
      </c>
      <c r="C6" s="6" t="inlineStr">
        <is>
          <t>المساعد الذكي</t>
        </is>
      </c>
    </row>
    <row r="7">
      <c r="A7" s="3" t="inlineStr">
        <is>
          <t>4. التحويل</t>
        </is>
      </c>
      <c r="B7" s="4" t="inlineStr">
        <is>
          <t>الليد المؤهل يتسجّل ويتحوّل للمبيعات</t>
        </is>
      </c>
      <c r="C7" s="6" t="inlineStr">
        <is>
          <t>Community Manager</t>
        </is>
      </c>
    </row>
    <row r="8">
      <c r="A8" s="3" t="inlineStr">
        <is>
          <t>5. المتابعة</t>
        </is>
      </c>
      <c r="B8" s="4" t="inlineStr">
        <is>
          <t>اتصال → معاينة/Zoom → عرض</t>
        </is>
      </c>
      <c r="C8" s="6" t="inlineStr">
        <is>
          <t>متابعة المبيعات</t>
        </is>
      </c>
    </row>
    <row r="9">
      <c r="A9" s="3" t="inlineStr">
        <is>
          <t>6. الإغلاق</t>
        </is>
      </c>
      <c r="B9" s="4" t="inlineStr">
        <is>
          <t>التعاقد + تحديث الحالة في الـ CRM</t>
        </is>
      </c>
      <c r="C9" s="6" t="inlineStr">
        <is>
          <t>متابعة المبيعات</t>
        </is>
      </c>
    </row>
    <row r="10">
      <c r="A10" s="3" t="inlineStr">
        <is>
          <t>7. ما بعد البيع</t>
        </is>
      </c>
      <c r="B10" s="4" t="inlineStr">
        <is>
          <t>متابعة + إحالات + قناة إعادة البيع</t>
        </is>
      </c>
      <c r="C10" s="6" t="inlineStr">
        <is>
          <t>خدمة العملاء</t>
        </is>
      </c>
    </row>
    <row r="12" ht="28" customHeight="1">
      <c r="A12" s="23" t="inlineStr">
        <is>
          <t>⏱️ SLA مقترح: الليد المؤهل يتواصل معاه فريق المبيعات خلال ساعتين عمل كحد أقصى.</t>
        </is>
      </c>
    </row>
  </sheetData>
  <mergeCells count="2">
    <mergeCell ref="A1:C1"/>
    <mergeCell ref="A12:C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 ht="36" customHeight="1">
      <c r="A1" s="1" t="inlineStr">
        <is>
          <t>خارطة الطريق السنوية (4 أرباع)</t>
        </is>
      </c>
    </row>
    <row r="3">
      <c r="A3" s="2" t="inlineStr">
        <is>
          <t>الربع</t>
        </is>
      </c>
      <c r="B3" s="2" t="inlineStr">
        <is>
          <t>التركيز</t>
        </is>
      </c>
      <c r="C3" s="2" t="inlineStr">
        <is>
          <t>أهم الأهداف</t>
        </is>
      </c>
    </row>
    <row r="4" ht="46" customHeight="1">
      <c r="A4" s="2" t="inlineStr">
        <is>
          <t>Q1 (شهور 1–3)</t>
        </is>
      </c>
      <c r="B4" s="3" t="inlineStr">
        <is>
          <t>التأسيس</t>
        </is>
      </c>
      <c r="C4" s="4" t="inlineStr">
        <is>
          <t>ضبط الهوية والقنوات · إطلاق حملات Meta · تركيب التتبّع والـ CRM · بدء تقدّم البناء · بيع 1–2 وحدة</t>
        </is>
      </c>
    </row>
    <row r="5" ht="46" customHeight="1">
      <c r="A5" s="2" t="inlineStr">
        <is>
          <t>Q2 (شهور 4–6)</t>
        </is>
      </c>
      <c r="B5" s="3" t="inlineStr">
        <is>
          <t>التوسّع</t>
        </is>
      </c>
      <c r="C5" s="4" t="inlineStr">
        <is>
          <t>تحسين الإعلانات الفائزة · Retargeting + Lookalike · إطلاق TikTok · شهادات العملاء · موسم المغتربين</t>
        </is>
      </c>
    </row>
    <row r="6" ht="46" customHeight="1">
      <c r="A6" s="2" t="inlineStr">
        <is>
          <t>Q3 (شهور 7–9)</t>
        </is>
      </c>
      <c r="B6" s="3" t="inlineStr">
        <is>
          <t>سلطة البراند</t>
        </is>
      </c>
      <c r="C6" s="4" t="inlineStr">
        <is>
          <t>Thought leadership · فيديوهات احترافية · Google/YouTube تجريبي · بدء تشويق Sky East</t>
        </is>
      </c>
    </row>
    <row r="7" ht="46" customHeight="1">
      <c r="A7" s="2" t="inlineStr">
        <is>
          <t>Q4 (شهور 10–12)</t>
        </is>
      </c>
      <c r="B7" s="3" t="inlineStr">
        <is>
          <t>الحصاد والتوسعة</t>
        </is>
      </c>
      <c r="C7" s="4" t="inlineStr">
        <is>
          <t>إغلاق الوحدات المتبقية · إعلان المشروع القادم · بناء قائمة اهتمام · مراجعة سنوية وتخطيط السنة 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2026-05-22T11:10:16Z</dcterms:created>
  <dcterms:modified xsi:type="dcterms:W3CDTF">2026-05-22T11:10:16Z</dcterms:modified>
</cp:coreProperties>
</file>